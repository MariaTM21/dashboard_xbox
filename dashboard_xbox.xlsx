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rcila.costa\Documents\"/>
    </mc:Choice>
  </mc:AlternateContent>
  <xr:revisionPtr revIDLastSave="0" documentId="13_ncr:1_{76DE5250-78ED-40B7-9EFC-B5268BE3011A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  <definedName name="tbl_eaplay_season_price">C̳álculos!$C$25</definedName>
  </definedNames>
  <calcPr calcId="191029"/>
  <pivotCaches>
    <pivotCache cacheId="4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3" l="1"/>
  <c r="H26" i="3"/>
  <c r="F42" i="3"/>
  <c r="F31" i="3"/>
</calcChain>
</file>

<file path=xl/sharedStrings.xml><?xml version="1.0" encoding="utf-8"?>
<sst xmlns="http://schemas.openxmlformats.org/spreadsheetml/2006/main" count="2035" uniqueCount="331">
  <si>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</si>
  <si>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</si>
  <si>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</si>
  <si>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</si>
  <si>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</si>
  <si>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</si>
  <si>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</si>
  <si>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</si>
  <si>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</si>
  <si>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</si>
  <si>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</si>
  <si>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</si>
  <si>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</si>
  <si>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</si>
  <si>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</si>
  <si>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</si>
  <si>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</si>
  <si>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</si>
  <si>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</si>
  <si>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</si>
  <si>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</si>
  <si>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</si>
  <si>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</si>
  <si>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</si>
  <si>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</si>
  <si>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</si>
  <si>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</si>
  <si>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</si>
  <si>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</si>
  <si>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</si>
  <si>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</si>
  <si>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</si>
  <si>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</si>
  <si>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</si>
  <si>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</si>
  <si>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</si>
  <si>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</si>
  <si>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</si>
  <si>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</si>
  <si>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</si>
  <si>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</si>
  <si>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</si>
  <si>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</si>
  <si>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</si>
  <si>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</si>
  <si>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</si>
  <si>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</si>
  <si>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</si>
  <si>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</si>
  <si>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</si>
  <si>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</si>
  <si>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</si>
  <si>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</si>
  <si>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</si>
  <si>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</si>
  <si>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</si>
  <si>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</si>
  <si>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</si>
  <si>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</si>
  <si>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</si>
  <si>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</si>
  <si>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</si>
  <si>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</si>
  <si>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</si>
  <si>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</si>
  <si>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</si>
  <si>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</si>
  <si>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</si>
  <si>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</si>
  <si>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</si>
  <si>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</si>
  <si>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</si>
  <si>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</si>
  <si>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</si>
  <si>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</si>
  <si>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</si>
  <si>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</si>
  <si>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</si>
  <si>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</si>
  <si>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</si>
  <si>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</si>
  <si>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</si>
  <si>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</si>
  <si>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</si>
  <si>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</si>
  <si>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</si>
  <si>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</si>
  <si>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</si>
  <si>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</si>
  <si>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</si>
  <si>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</si>
  <si>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</si>
  <si>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</si>
  <si>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</si>
  <si>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</si>
  <si>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</si>
  <si>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</si>
  <si>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</si>
  <si>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</si>
  <si>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</si>
  <si>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</si>
  <si>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</si>
  <si>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</si>
  <si>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</si>
  <si>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</si>
  <si>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</si>
  <si>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</si>
  <si>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</si>
  <si>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</si>
  <si>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</si>
  <si>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</si>
  <si>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</si>
  <si>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</si>
  <si>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</si>
  <si>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</si>
  <si>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</si>
  <si>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</si>
  <si>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</si>
  <si>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</si>
  <si>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</si>
  <si>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</si>
  <si>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</si>
  <si>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</si>
  <si>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</si>
  <si>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</si>
  <si>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</si>
  <si>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</si>
  <si>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</si>
  <si>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</si>
  <si>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</si>
  <si>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</si>
  <si>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</si>
  <si>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</si>
  <si>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</si>
  <si>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</si>
  <si>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</si>
  <si>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</si>
  <si>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</si>
  <si>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</si>
  <si>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</si>
  <si>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</si>
  <si>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</si>
  <si>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</si>
  <si>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</si>
  <si>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</si>
  <si>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</si>
  <si>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</si>
  <si>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</si>
  <si>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</si>
  <si>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</si>
  <si>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</si>
  <si>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</si>
  <si>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</si>
  <si>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</si>
  <si>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</si>
  <si>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</si>
  <si>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</si>
  <si>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</si>
  <si>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</si>
  <si>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</si>
  <si>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</si>
  <si>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</si>
  <si>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</si>
  <si>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</si>
  <si>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</si>
  <si>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</si>
  <si>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</si>
  <si>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</si>
  <si>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</si>
  <si>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</si>
  <si>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</si>
  <si>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</si>
  <si>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</si>
  <si>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</si>
  <si>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</si>
  <si>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</si>
  <si>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</si>
  <si>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</si>
  <si>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</si>
  <si>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</si>
  <si>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</si>
  <si>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</si>
  <si>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</si>
  <si>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</si>
  <si>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</si>
  <si>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</si>
  <si>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</si>
  <si>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</si>
  <si>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</si>
  <si>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</si>
  <si>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</si>
  <si>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</si>
  <si>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</si>
  <si>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</si>
  <si>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</si>
  <si>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</si>
  <si>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</si>
  <si>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</si>
  <si>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</si>
  <si>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</si>
  <si>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</si>
  <si>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</si>
  <si>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</si>
  <si>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</si>
  <si>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</si>
  <si>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</si>
  <si>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</si>
  <si>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</si>
  <si>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</si>
  <si>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</si>
  <si>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</si>
  <si>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</si>
  <si>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</si>
  <si>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</si>
  <si>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</si>
  <si>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</si>
  <si>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</si>
  <si>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</si>
  <si>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</si>
  <si>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</si>
  <si>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</si>
  <si>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</si>
  <si>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</si>
  <si>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</si>
  <si>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</si>
  <si>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</si>
  <si>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</si>
  <si>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</si>
  <si>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</si>
  <si>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</si>
  <si>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</si>
  <si>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</si>
  <si>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</si>
  <si>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</si>
  <si>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</si>
  <si>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</si>
  <si>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</si>
  <si>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</si>
  <si>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</si>
  <si>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</si>
  <si>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</si>
  <si>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</si>
  <si>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</si>
  <si>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</si>
  <si>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</si>
  <si>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</si>
  <si>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</si>
  <si>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</si>
  <si>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</si>
  <si>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</si>
  <si>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</si>
  <si>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</si>
  <si>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</si>
  <si>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</si>
  <si>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</si>
  <si>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</si>
  <si>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</si>
  <si>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</si>
  <si>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</si>
  <si>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</si>
  <si>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</si>
  <si>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</si>
  <si>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</si>
  <si>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</si>
  <si>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</si>
  <si>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</si>
  <si>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</si>
  <si>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</si>
  <si>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</si>
  <si>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</si>
  <si>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</si>
  <si>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</si>
  <si>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</si>
  <si>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</si>
  <si>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</si>
  <si>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</si>
  <si>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</si>
  <si>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</si>
  <si>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</si>
  <si>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</si>
  <si>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</si>
  <si>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</si>
  <si>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</si>
  <si>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</si>
  <si>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</si>
  <si>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</si>
  <si>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</si>
  <si>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</si>
  <si>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</si>
  <si>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</si>
  <si>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</si>
  <si>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</si>
  <si>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</si>
  <si>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</si>
  <si>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</si>
  <si>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</si>
  <si>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</si>
  <si>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</si>
  <si>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</si>
  <si>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</si>
  <si>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</si>
  <si>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</si>
  <si>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</si>
  <si>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</si>
  <si>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</si>
  <si>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</si>
  <si>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</si>
  <si>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</si>
  <si>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</si>
  <si>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</si>
  <si>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</si>
  <si>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</si>
  <si>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</si>
  <si>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(Tudo)</t>
  </si>
  <si>
    <t>Rótulos de Linha</t>
  </si>
  <si>
    <t>(vazio)</t>
  </si>
  <si>
    <t>Total Geral</t>
  </si>
  <si>
    <t>Soma de Total Value</t>
  </si>
  <si>
    <t>Qual faturamente Total de vendas de planos anuais, separando por auto renovação não é por auto renovação</t>
  </si>
  <si>
    <t>Qual faturamento Total de vendas de planos anuais(contendo todas as assinaturas agregadas</t>
  </si>
  <si>
    <t>Qual plano de assinatura mais recorrente</t>
  </si>
  <si>
    <t>Perguntas de negócio</t>
  </si>
  <si>
    <t>Pergutna de negócio 3 - Total de vendas de asssinaturas do EA Play</t>
  </si>
  <si>
    <t>Soma de EA Play Season Pass</t>
  </si>
  <si>
    <t>Soma de Minecraft Season Pass Price</t>
  </si>
  <si>
    <t xml:space="preserve">               XBOX GAME PASS SUBSCRIPTIONS SALES</t>
  </si>
  <si>
    <t>Contagem de Subscriber ID</t>
  </si>
  <si>
    <t>VALOR TOTAL</t>
  </si>
  <si>
    <t>VALOR TOTAL DESCONTO</t>
  </si>
  <si>
    <t>Soma de Coupon Value</t>
  </si>
  <si>
    <t xml:space="preserve"> &gt; Bem vindo, Fábio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</si>
</sst>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9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4" fontId="0" fillId="0" borderId="0" xfId="3" applyNumberFormat="1" applyFont="1"/>
    <xf numFmtId="0" fontId="5" fillId="0" borderId="2" xfId="1" applyFont="1" applyBorder="1"/>
    <xf numFmtId="0" fontId="0" fillId="0" borderId="2" xfId="0" applyBorder="1"/>
    <xf numFmtId="0" fontId="6" fillId="0" borderId="2" xfId="1" applyFont="1" applyBorder="1"/>
    <xf numFmtId="0" fontId="4" fillId="4" borderId="0" xfId="0" applyFont="1" applyFill="1" applyAlignment="1">
      <alignment horizontal="left" vertical="top"/>
    </xf>
    <xf numFmtId="44" fontId="0" fillId="0" borderId="0" xfId="0" applyNumberFormat="1"/>
    <xf numFmtId="44" fontId="0" fillId="0" borderId="0" xfId="2" applyFont="1"/>
  </cellXfs>
  <cellStyles count="4">
    <cellStyle name="Moeda" xfId="2" builtinId="4"/>
    <cellStyle name="Normal" xfId="0" builtinId="0"/>
    <cellStyle name="Título 1" xfId="1" builtinId="16"/>
    <cellStyle name="Vírgula" xfId="3" builtinId="3"/>
  </cellStyles>
  <dxfs count="191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0"/>
        <name val="Aptos Narrow"/>
        <family val="2"/>
        <scheme val="minor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1921D00-B93B-40DE-A32A-98E6207C1353}">
      <tableStyleElement type="wholeTable" dxfId="176"/>
      <tableStyleElement type="headerRow" dxfId="175"/>
    </tableStyle>
  </tableStyles>
  <colors>
    <mruColors>
      <color rgb="FF22C55E"/>
      <color rgb="FFE8E6E9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dinâmica1</c:name>
    <c:fmtId val="4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C̳álculos!$C$10:$C$12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C̳álculos!$D$10:$D$12</c:f>
              <c:numCache>
                <c:formatCode>"R$"\ #,##0.00</c:formatCode>
                <c:ptCount val="2"/>
                <c:pt idx="0">
                  <c:v>2245</c:v>
                </c:pt>
                <c:pt idx="1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DA-46DD-ACD3-83A66FB37F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2580480"/>
        <c:axId val="1472601120"/>
      </c:barChart>
      <c:catAx>
        <c:axId val="147258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2601120"/>
        <c:crosses val="autoZero"/>
        <c:auto val="1"/>
        <c:lblAlgn val="ctr"/>
        <c:lblOffset val="100"/>
        <c:noMultiLvlLbl val="0"/>
      </c:catAx>
      <c:valAx>
        <c:axId val="147260112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4725804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[dashboard_xbox.xlsx]C̳álculos!Tabela dinâmica4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9444444444444445E-2"/>
          <c:y val="5.0925925925925923E-2"/>
          <c:w val="0.82891185476815399"/>
          <c:h val="0.842045056867891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C̳álculos!$H$9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C̳álculos!$G$10:$G$13</c:f>
              <c:strCache>
                <c:ptCount val="3"/>
                <c:pt idx="0">
                  <c:v>Standard</c:v>
                </c:pt>
                <c:pt idx="1">
                  <c:v>Ultimate</c:v>
                </c:pt>
                <c:pt idx="2">
                  <c:v>Core</c:v>
                </c:pt>
              </c:strCache>
            </c:strRef>
          </c:cat>
          <c:val>
            <c:numRef>
              <c:f>C̳álculos!$H$10:$H$13</c:f>
              <c:numCache>
                <c:formatCode>General</c:formatCode>
                <c:ptCount val="3"/>
                <c:pt idx="0">
                  <c:v>96</c:v>
                </c:pt>
                <c:pt idx="1">
                  <c:v>98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3-42BC-B553-11BA6F7518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81363360"/>
        <c:axId val="1381363840"/>
      </c:barChart>
      <c:catAx>
        <c:axId val="138136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1363840"/>
        <c:crosses val="autoZero"/>
        <c:auto val="1"/>
        <c:lblAlgn val="ctr"/>
        <c:lblOffset val="100"/>
        <c:noMultiLvlLbl val="0"/>
      </c:catAx>
      <c:valAx>
        <c:axId val="13813638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8136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chart" Target="../charts/chart2.xml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172074"/>
          <a:ext cx="15494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142051</xdr:rowOff>
    </xdr:from>
    <xdr:to>
      <xdr:col>3</xdr:col>
      <xdr:colOff>0</xdr:colOff>
      <xdr:row>3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6DE10F-4F6F-CB71-B184-F96806AEA7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162" t="24012" r="71638" b="22908"/>
        <a:stretch>
          <a:fillRect/>
        </a:stretch>
      </xdr:blipFill>
      <xdr:spPr>
        <a:xfrm flipH="1">
          <a:off x="2171700" y="142051"/>
          <a:ext cx="857250" cy="6675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260985</xdr:rowOff>
    </xdr:from>
    <xdr:to>
      <xdr:col>0</xdr:col>
      <xdr:colOff>2135505</xdr:colOff>
      <xdr:row>12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4C06515-8270-4861-9769-CCE23C92E2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37335"/>
              <a:ext cx="2135505" cy="11677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228599</xdr:colOff>
      <xdr:row>4</xdr:row>
      <xdr:rowOff>104776</xdr:rowOff>
    </xdr:from>
    <xdr:to>
      <xdr:col>10</xdr:col>
      <xdr:colOff>95250</xdr:colOff>
      <xdr:row>12</xdr:row>
      <xdr:rowOff>76200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B3AF1CC2-25C7-4C81-4E38-BD0C820A74C3}"/>
            </a:ext>
          </a:extLst>
        </xdr:cNvPr>
        <xdr:cNvGrpSpPr/>
      </xdr:nvGrpSpPr>
      <xdr:grpSpPr>
        <a:xfrm>
          <a:off x="2400299" y="1123951"/>
          <a:ext cx="4991101" cy="1552574"/>
          <a:chOff x="2447925" y="1057275"/>
          <a:chExt cx="4171950" cy="1247775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5C64A0DB-C583-4725-9905-F19B804B887C}"/>
              </a:ext>
            </a:extLst>
          </xdr:cNvPr>
          <xdr:cNvSpPr/>
        </xdr:nvSpPr>
        <xdr:spPr>
          <a:xfrm>
            <a:off x="2447925" y="1066800"/>
            <a:ext cx="4152900" cy="10287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D64812B8-DDF7-ED44-B461-CE1DF3D963FC}"/>
              </a:ext>
            </a:extLst>
          </xdr:cNvPr>
          <xdr:cNvSpPr/>
        </xdr:nvSpPr>
        <xdr:spPr>
          <a:xfrm>
            <a:off x="3552825" y="1381125"/>
            <a:ext cx="2828924" cy="7143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BB4051-A82B-499D-862F-9F97991A5E01}" type="TxLink">
              <a:rPr lang="en-US" sz="2800" b="0" i="0" u="none" strike="noStrike" cap="none" spc="0">
                <a:ln w="0"/>
                <a:solidFill>
                  <a:srgbClr val="22C55E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R$ 2.940,00</a:t>
            </a:fld>
            <a:endParaRPr lang="pt-BR" sz="8000" b="0" cap="none" spc="0">
              <a:ln w="0"/>
              <a:solidFill>
                <a:srgbClr val="22C55E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4AFCFC36-EC89-4F28-985B-E678DCB7E4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52725" y="1152525"/>
            <a:ext cx="1219200" cy="1152525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5BF2762E-D250-F4FC-865C-79D22D9447D1}"/>
              </a:ext>
            </a:extLst>
          </xdr:cNvPr>
          <xdr:cNvSpPr/>
        </xdr:nvSpPr>
        <xdr:spPr>
          <a:xfrm>
            <a:off x="2457450" y="1057275"/>
            <a:ext cx="4162425" cy="333375"/>
          </a:xfrm>
          <a:prstGeom prst="roundRect">
            <a:avLst>
              <a:gd name="adj" fmla="val 12857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0">
                <a:solidFill>
                  <a:schemeClr val="bg1"/>
                </a:solidFill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323850</xdr:colOff>
      <xdr:row>4</xdr:row>
      <xdr:rowOff>114300</xdr:rowOff>
    </xdr:from>
    <xdr:to>
      <xdr:col>19</xdr:col>
      <xdr:colOff>9526</xdr:colOff>
      <xdr:row>10</xdr:row>
      <xdr:rowOff>152400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899FD4D-BB32-B2B9-B2B5-FFEEBDA87536}"/>
            </a:ext>
          </a:extLst>
        </xdr:cNvPr>
        <xdr:cNvGrpSpPr/>
      </xdr:nvGrpSpPr>
      <xdr:grpSpPr>
        <a:xfrm>
          <a:off x="7620000" y="1133475"/>
          <a:ext cx="5010151" cy="1257300"/>
          <a:chOff x="7478517" y="981075"/>
          <a:chExt cx="4770634" cy="1228433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76CB5AB3-ED0A-4BB5-BA80-F234D6720F97}"/>
              </a:ext>
            </a:extLst>
          </xdr:cNvPr>
          <xdr:cNvGrpSpPr/>
        </xdr:nvGrpSpPr>
        <xdr:grpSpPr>
          <a:xfrm>
            <a:off x="7478517" y="981075"/>
            <a:ext cx="4770634" cy="1228433"/>
            <a:chOff x="2440829" y="1057275"/>
            <a:chExt cx="4162425" cy="1038225"/>
          </a:xfrm>
        </xdr:grpSpPr>
        <xdr:sp macro="" textlink="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C4E58657-0823-DBB6-0162-60CDA1A530B1}"/>
                </a:ext>
              </a:extLst>
            </xdr:cNvPr>
            <xdr:cNvSpPr/>
          </xdr:nvSpPr>
          <xdr:spPr>
            <a:xfrm>
              <a:off x="2447925" y="1066800"/>
              <a:ext cx="4152900" cy="1028700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42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EAE7E324-32DF-471A-DCFA-9434CFA0B54E}"/>
                </a:ext>
              </a:extLst>
            </xdr:cNvPr>
            <xdr:cNvSpPr/>
          </xdr:nvSpPr>
          <xdr:spPr>
            <a:xfrm>
              <a:off x="3710728" y="1356975"/>
              <a:ext cx="2828924" cy="714375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23BA9A3-CA98-42C2-9F83-67DE52968E8E}" type="TxLink">
                <a:rPr lang="en-US" sz="2800" b="0" i="0" u="none" strike="noStrike" cap="none" spc="0">
                  <a:ln w="0"/>
                  <a:solidFill>
                    <a:srgbClr val="22C55E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ptos Narrow"/>
                </a:rPr>
                <a:t>R$ 3.880,00</a:t>
              </a:fld>
              <a:endParaRPr lang="pt-BR" sz="23900" b="0" cap="none" spc="0">
                <a:ln w="0"/>
                <a:solidFill>
                  <a:srgbClr val="22C55E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6E07CE46-4A02-01DB-08E8-17E48ACCB814}"/>
                </a:ext>
              </a:extLst>
            </xdr:cNvPr>
            <xdr:cNvSpPr/>
          </xdr:nvSpPr>
          <xdr:spPr>
            <a:xfrm>
              <a:off x="2440829" y="1057275"/>
              <a:ext cx="4162425" cy="333375"/>
            </a:xfrm>
            <a:prstGeom prst="roundRect">
              <a:avLst>
                <a:gd name="adj" fmla="val 12857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0">
                  <a:solidFill>
                    <a:schemeClr val="bg1"/>
                  </a:solidFill>
                </a:rPr>
                <a:t>TOTAL SUBSCRIPTIONS MINECRAFT SEASON PASS</a:t>
              </a: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C93111F2-E1E2-49EB-8CA7-56BDF461379A}"/>
              </a:ext>
            </a:extLst>
          </xdr:cNvPr>
          <xdr:cNvGrpSpPr/>
        </xdr:nvGrpSpPr>
        <xdr:grpSpPr>
          <a:xfrm>
            <a:off x="7696200" y="1447800"/>
            <a:ext cx="1495425" cy="647700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3465824B-0A3B-EF1B-31AB-C026C4BF17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3830C765-2A55-2003-F506-3DC4C40BF74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28575</xdr:colOff>
      <xdr:row>29</xdr:row>
      <xdr:rowOff>28575</xdr:rowOff>
    </xdr:from>
    <xdr:to>
      <xdr:col>19</xdr:col>
      <xdr:colOff>266700</xdr:colOff>
      <xdr:row>45</xdr:row>
      <xdr:rowOff>142875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628ED0B0-A01F-FAA1-6410-C438DAAB50D9}"/>
            </a:ext>
          </a:extLst>
        </xdr:cNvPr>
        <xdr:cNvGrpSpPr/>
      </xdr:nvGrpSpPr>
      <xdr:grpSpPr>
        <a:xfrm>
          <a:off x="2447925" y="5705475"/>
          <a:ext cx="10439400" cy="3009900"/>
          <a:chOff x="2381250" y="2781300"/>
          <a:chExt cx="5524501" cy="2895600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FCE004F9-6954-D70E-EB6C-A863D6B81091}"/>
              </a:ext>
            </a:extLst>
          </xdr:cNvPr>
          <xdr:cNvGrpSpPr/>
        </xdr:nvGrpSpPr>
        <xdr:grpSpPr>
          <a:xfrm>
            <a:off x="2381250" y="2781300"/>
            <a:ext cx="5524500" cy="2895600"/>
            <a:chOff x="2438400" y="1019175"/>
            <a:chExt cx="5219700" cy="280035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59A504E2-B33F-AC2A-AF0C-1D0827695B8A}"/>
                </a:ext>
              </a:extLst>
            </xdr:cNvPr>
            <xdr:cNvSpPr/>
          </xdr:nvSpPr>
          <xdr:spPr>
            <a:xfrm>
              <a:off x="2438400" y="1019175"/>
              <a:ext cx="5219700" cy="2800350"/>
            </a:xfrm>
            <a:prstGeom prst="roundRect">
              <a:avLst>
                <a:gd name="adj" fmla="val 952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8B3C28BE-ED76-4B43-9689-C6BB86890BF1}"/>
                </a:ext>
              </a:extLst>
            </xdr:cNvPr>
            <xdr:cNvGraphicFramePr>
              <a:graphicFrameLocks/>
            </xdr:cNvGraphicFramePr>
          </xdr:nvGraphicFramePr>
          <xdr:xfrm>
            <a:off x="2552700" y="1095375"/>
            <a:ext cx="5010150" cy="26193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9CBF35AC-CF19-49AD-929E-D6AD8C7ACBBC}"/>
              </a:ext>
            </a:extLst>
          </xdr:cNvPr>
          <xdr:cNvSpPr/>
        </xdr:nvSpPr>
        <xdr:spPr>
          <a:xfrm>
            <a:off x="2381251" y="2781300"/>
            <a:ext cx="5524500" cy="394451"/>
          </a:xfrm>
          <a:prstGeom prst="roundRect">
            <a:avLst>
              <a:gd name="adj" fmla="val 12857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0">
                <a:solidFill>
                  <a:schemeClr val="bg1"/>
                </a:solidFill>
              </a:rPr>
              <a:t>TOTAL SUBSCRIPTIONS XBOX</a:t>
            </a:r>
            <a:r>
              <a:rPr lang="pt-BR" sz="1200" b="0" baseline="0">
                <a:solidFill>
                  <a:schemeClr val="bg1"/>
                </a:solidFill>
              </a:rPr>
              <a:t> GAME PASS</a:t>
            </a:r>
            <a:endParaRPr lang="pt-BR" sz="12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200026</xdr:colOff>
      <xdr:row>11</xdr:row>
      <xdr:rowOff>161925</xdr:rowOff>
    </xdr:from>
    <xdr:to>
      <xdr:col>10</xdr:col>
      <xdr:colOff>76200</xdr:colOff>
      <xdr:row>28</xdr:row>
      <xdr:rowOff>10886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1681C7C1-DEF0-7B44-F11F-7B6236C913BB}"/>
            </a:ext>
          </a:extLst>
        </xdr:cNvPr>
        <xdr:cNvGrpSpPr/>
      </xdr:nvGrpSpPr>
      <xdr:grpSpPr>
        <a:xfrm>
          <a:off x="2371726" y="2581275"/>
          <a:ext cx="5000624" cy="2925536"/>
          <a:chOff x="10896601" y="2695575"/>
          <a:chExt cx="5467349" cy="2925725"/>
        </a:xfrm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F42BE5A2-F12D-A5A2-EB49-5123519F3BE4}"/>
              </a:ext>
            </a:extLst>
          </xdr:cNvPr>
          <xdr:cNvGrpSpPr/>
        </xdr:nvGrpSpPr>
        <xdr:grpSpPr>
          <a:xfrm>
            <a:off x="10934699" y="2695575"/>
            <a:ext cx="5419726" cy="2925725"/>
            <a:chOff x="11020424" y="2695575"/>
            <a:chExt cx="5514975" cy="3058713"/>
          </a:xfrm>
        </xdr:grpSpPr>
        <xdr:sp macro="" textlink="">
          <xdr:nvSpPr>
            <xdr:cNvPr id="42" name="Retângulo: Cantos Arredondados 41">
              <a:extLst>
                <a:ext uri="{FF2B5EF4-FFF2-40B4-BE49-F238E27FC236}">
                  <a16:creationId xmlns:a16="http://schemas.microsoft.com/office/drawing/2014/main" id="{1B74BD3C-A125-9A7B-71D1-C17540CB2D5D}"/>
                </a:ext>
              </a:extLst>
            </xdr:cNvPr>
            <xdr:cNvSpPr/>
          </xdr:nvSpPr>
          <xdr:spPr>
            <a:xfrm>
              <a:off x="11020424" y="2695575"/>
              <a:ext cx="5514975" cy="3057525"/>
            </a:xfrm>
            <a:prstGeom prst="roundRect">
              <a:avLst>
                <a:gd name="adj" fmla="val 5483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100"/>
                <a:t>0</a:t>
              </a:r>
            </a:p>
          </xdr:txBody>
        </xdr:sp>
        <xdr:graphicFrame macro="">
          <xdr:nvGraphicFramePr>
            <xdr:cNvPr id="40" name="Gráfico 39">
              <a:extLst>
                <a:ext uri="{FF2B5EF4-FFF2-40B4-BE49-F238E27FC236}">
                  <a16:creationId xmlns:a16="http://schemas.microsoft.com/office/drawing/2014/main" id="{50992FC6-BED8-4DDA-BDEC-5D74488F464D}"/>
                </a:ext>
              </a:extLst>
            </xdr:cNvPr>
            <xdr:cNvGraphicFramePr>
              <a:graphicFrameLocks/>
            </xdr:cNvGraphicFramePr>
          </xdr:nvGraphicFramePr>
          <xdr:xfrm>
            <a:off x="11110544" y="3141666"/>
            <a:ext cx="5373894" cy="261262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</xdr:grpSp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20E86DC7-7AEE-4E3A-886D-2F7230E75FEE}"/>
              </a:ext>
            </a:extLst>
          </xdr:cNvPr>
          <xdr:cNvSpPr/>
        </xdr:nvSpPr>
        <xdr:spPr>
          <a:xfrm>
            <a:off x="10896601" y="2695576"/>
            <a:ext cx="5467349" cy="394793"/>
          </a:xfrm>
          <a:prstGeom prst="roundRect">
            <a:avLst>
              <a:gd name="adj" fmla="val 12857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0">
                <a:solidFill>
                  <a:schemeClr val="bg1"/>
                </a:solidFill>
              </a:rPr>
              <a:t>MOST</a:t>
            </a:r>
            <a:r>
              <a:rPr lang="pt-BR" sz="1200" b="0" baseline="0">
                <a:solidFill>
                  <a:schemeClr val="bg1"/>
                </a:solidFill>
              </a:rPr>
              <a:t> RECURRING PLAN</a:t>
            </a:r>
            <a:endParaRPr lang="pt-BR" sz="12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348343</xdr:colOff>
      <xdr:row>12</xdr:row>
      <xdr:rowOff>65313</xdr:rowOff>
    </xdr:from>
    <xdr:to>
      <xdr:col>19</xdr:col>
      <xdr:colOff>34019</xdr:colOff>
      <xdr:row>19</xdr:row>
      <xdr:rowOff>38099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6FE7B00C-F1E4-A2F0-2C4A-3E79F003F438}"/>
            </a:ext>
          </a:extLst>
        </xdr:cNvPr>
        <xdr:cNvGrpSpPr/>
      </xdr:nvGrpSpPr>
      <xdr:grpSpPr>
        <a:xfrm>
          <a:off x="7644493" y="2665638"/>
          <a:ext cx="5010151" cy="1239611"/>
          <a:chOff x="2440829" y="1057275"/>
          <a:chExt cx="4162425" cy="1038225"/>
        </a:xfrm>
      </xdr:grpSpPr>
      <xdr:sp macro="" textlink="">
        <xdr:nvSpPr>
          <xdr:cNvPr id="52" name="Retângulo: Cantos Arredondados 51">
            <a:extLst>
              <a:ext uri="{FF2B5EF4-FFF2-40B4-BE49-F238E27FC236}">
                <a16:creationId xmlns:a16="http://schemas.microsoft.com/office/drawing/2014/main" id="{9326AFE1-B0F4-53A0-3A71-93BCFCB0B264}"/>
              </a:ext>
            </a:extLst>
          </xdr:cNvPr>
          <xdr:cNvSpPr/>
        </xdr:nvSpPr>
        <xdr:spPr>
          <a:xfrm>
            <a:off x="2447925" y="1066800"/>
            <a:ext cx="4152900" cy="10287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H26">
        <xdr:nvSpPr>
          <xdr:cNvPr id="53" name="Retângulo: Cantos Arredondados 52">
            <a:extLst>
              <a:ext uri="{FF2B5EF4-FFF2-40B4-BE49-F238E27FC236}">
                <a16:creationId xmlns:a16="http://schemas.microsoft.com/office/drawing/2014/main" id="{6675433C-8A8C-B315-A6EA-F1A29F156B8A}"/>
              </a:ext>
            </a:extLst>
          </xdr:cNvPr>
          <xdr:cNvSpPr/>
        </xdr:nvSpPr>
        <xdr:spPr>
          <a:xfrm>
            <a:off x="2449873" y="1365886"/>
            <a:ext cx="4080731" cy="7143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698F768B-1DF8-40CB-B051-650AF157653F}" type="TxLink">
              <a:rPr lang="en-US" sz="2800" b="0" i="0" u="none" strike="noStrike" cap="none" spc="0">
                <a:ln w="0"/>
                <a:solidFill>
                  <a:srgbClr val="22C55E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 R$ 7.633,00 </a:t>
            </a:fld>
            <a:endParaRPr lang="pt-BR" sz="2800" b="0" i="0" u="none" strike="noStrike" cap="none" spc="0">
              <a:ln w="0"/>
              <a:solidFill>
                <a:srgbClr val="22C55E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endParaRPr>
          </a:p>
        </xdr:txBody>
      </xdr:sp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CFDBC65A-CB03-E038-5624-DA585EC78106}"/>
              </a:ext>
            </a:extLst>
          </xdr:cNvPr>
          <xdr:cNvSpPr/>
        </xdr:nvSpPr>
        <xdr:spPr>
          <a:xfrm>
            <a:off x="2440829" y="1057275"/>
            <a:ext cx="4162425" cy="333375"/>
          </a:xfrm>
          <a:prstGeom prst="roundRect">
            <a:avLst>
              <a:gd name="adj" fmla="val 12857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0">
                <a:solidFill>
                  <a:schemeClr val="bg1"/>
                </a:solidFill>
              </a:rPr>
              <a:t>TOTAL SUBSCRIPTIONS </a:t>
            </a:r>
          </a:p>
        </xdr:txBody>
      </xdr:sp>
    </xdr:grpSp>
    <xdr:clientData/>
  </xdr:twoCellAnchor>
  <xdr:twoCellAnchor>
    <xdr:from>
      <xdr:col>10</xdr:col>
      <xdr:colOff>391885</xdr:colOff>
      <xdr:row>20</xdr:row>
      <xdr:rowOff>141514</xdr:rowOff>
    </xdr:from>
    <xdr:to>
      <xdr:col>19</xdr:col>
      <xdr:colOff>77561</xdr:colOff>
      <xdr:row>27</xdr:row>
      <xdr:rowOff>114300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2FCDD35A-0B48-4A58-B270-929685C7359F}"/>
            </a:ext>
          </a:extLst>
        </xdr:cNvPr>
        <xdr:cNvGrpSpPr/>
      </xdr:nvGrpSpPr>
      <xdr:grpSpPr>
        <a:xfrm>
          <a:off x="7688035" y="4189639"/>
          <a:ext cx="5010151" cy="1239611"/>
          <a:chOff x="2440829" y="1057275"/>
          <a:chExt cx="4162425" cy="1038225"/>
        </a:xfrm>
      </xdr:grpSpPr>
      <xdr:sp macro="" textlink="">
        <xdr:nvSpPr>
          <xdr:cNvPr id="56" name="Retângulo: Cantos Arredondados 55">
            <a:extLst>
              <a:ext uri="{FF2B5EF4-FFF2-40B4-BE49-F238E27FC236}">
                <a16:creationId xmlns:a16="http://schemas.microsoft.com/office/drawing/2014/main" id="{BA3FE20D-5FB5-7F6E-B096-9251279BCF09}"/>
              </a:ext>
            </a:extLst>
          </xdr:cNvPr>
          <xdr:cNvSpPr/>
        </xdr:nvSpPr>
        <xdr:spPr>
          <a:xfrm>
            <a:off x="2447925" y="1066800"/>
            <a:ext cx="4152900" cy="102870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H39">
        <xdr:nvSpPr>
          <xdr:cNvPr id="57" name="Retângulo: Cantos Arredondados 56">
            <a:extLst>
              <a:ext uri="{FF2B5EF4-FFF2-40B4-BE49-F238E27FC236}">
                <a16:creationId xmlns:a16="http://schemas.microsoft.com/office/drawing/2014/main" id="{FF8428ED-4F38-D3F8-6263-814A12CAD3D5}"/>
              </a:ext>
            </a:extLst>
          </xdr:cNvPr>
          <xdr:cNvSpPr/>
        </xdr:nvSpPr>
        <xdr:spPr>
          <a:xfrm>
            <a:off x="2449873" y="1365886"/>
            <a:ext cx="4080731" cy="714375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C1F8CB8-1ECE-4222-AA7B-61773A5B1CC4}" type="TxLink">
              <a:rPr lang="en-US" sz="2800" b="0" i="0" u="none" strike="noStrike" cap="none" spc="0">
                <a:ln w="0"/>
                <a:solidFill>
                  <a:srgbClr val="22C55E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 R$ 2.122,00 </a:t>
            </a:fld>
            <a:endParaRPr lang="pt-BR" sz="6000" b="0" i="0" u="none" strike="noStrike" cap="none" spc="0">
              <a:ln w="0"/>
              <a:solidFill>
                <a:srgbClr val="22C55E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ptos Narrow"/>
            </a:endParaRPr>
          </a:p>
        </xdr:txBody>
      </xdr:sp>
      <xdr:sp macro="" textlink="">
        <xdr:nvSpPr>
          <xdr:cNvPr id="58" name="Retângulo: Cantos Arredondados 57">
            <a:extLst>
              <a:ext uri="{FF2B5EF4-FFF2-40B4-BE49-F238E27FC236}">
                <a16:creationId xmlns:a16="http://schemas.microsoft.com/office/drawing/2014/main" id="{9409BF8E-AE6D-67A2-878E-8EB2B0B9A009}"/>
              </a:ext>
            </a:extLst>
          </xdr:cNvPr>
          <xdr:cNvSpPr/>
        </xdr:nvSpPr>
        <xdr:spPr>
          <a:xfrm>
            <a:off x="2440829" y="1057275"/>
            <a:ext cx="4162425" cy="333375"/>
          </a:xfrm>
          <a:prstGeom prst="roundRect">
            <a:avLst>
              <a:gd name="adj" fmla="val 12857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0">
                <a:solidFill>
                  <a:schemeClr val="bg1"/>
                </a:solidFill>
              </a:rPr>
              <a:t>TOTAL</a:t>
            </a:r>
            <a:r>
              <a:rPr lang="pt-BR" sz="1200" b="0" baseline="0">
                <a:solidFill>
                  <a:schemeClr val="bg1"/>
                </a:solidFill>
              </a:rPr>
              <a:t> DISCOUNT</a:t>
            </a:r>
            <a:endParaRPr lang="pt-BR" sz="1200" b="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87086</xdr:colOff>
      <xdr:row>0</xdr:row>
      <xdr:rowOff>130628</xdr:rowOff>
    </xdr:from>
    <xdr:to>
      <xdr:col>0</xdr:col>
      <xdr:colOff>782411</xdr:colOff>
      <xdr:row>2</xdr:row>
      <xdr:rowOff>102053</xdr:rowOff>
    </xdr:to>
    <xdr:sp macro="" textlink="">
      <xdr:nvSpPr>
        <xdr:cNvPr id="59" name="Elipse 58">
          <a:extLst>
            <a:ext uri="{FF2B5EF4-FFF2-40B4-BE49-F238E27FC236}">
              <a16:creationId xmlns:a16="http://schemas.microsoft.com/office/drawing/2014/main" id="{B69A3287-191C-4D0A-BC60-F361523BE197}"/>
            </a:ext>
          </a:extLst>
        </xdr:cNvPr>
        <xdr:cNvSpPr/>
      </xdr:nvSpPr>
      <xdr:spPr>
        <a:xfrm>
          <a:off x="87086" y="130628"/>
          <a:ext cx="695325" cy="657225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cila Costa" refreshedDate="46000.700979513887" createdVersion="8" refreshedVersion="8" minRefreshableVersion="3" recordCount="296" xr:uid="{81890637-D66A-4F26-A6CB-C2F7088A7C04}">
  <cacheSource type="worksheet">
    <worksheetSource ref="A1:M1048576" sheet="B̳ases"/>
  </cacheSource>
  <cacheFields count="15">
    <cacheField name="Subscriber ID" numFmtId="0">
      <sharedItems containsString="0" containsBlank="1" containsNumber="1" containsInteger="1" minValue="3231" maxValue="3525" count="296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m/>
      </sharedItems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m/>
      </sharedItems>
      <fieldGroup par="14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/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9135197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x v="0"/>
    <s v="João Silva"/>
    <x v="0"/>
    <x v="0"/>
    <x v="0"/>
    <n v="15"/>
    <x v="0"/>
    <x v="0"/>
    <n v="30"/>
    <s v="Yes"/>
    <n v="20"/>
    <n v="5"/>
    <n v="60"/>
  </r>
  <r>
    <x v="1"/>
    <s v="Maria Oliveira"/>
    <x v="1"/>
    <x v="1"/>
    <x v="1"/>
    <n v="5"/>
    <x v="1"/>
    <x v="1"/>
    <s v="-"/>
    <s v="No"/>
    <n v="0"/>
    <n v="0"/>
    <n v="5"/>
  </r>
  <r>
    <x v="2"/>
    <s v="Lucas Fernandes"/>
    <x v="2"/>
    <x v="2"/>
    <x v="0"/>
    <n v="10"/>
    <x v="2"/>
    <x v="1"/>
    <s v="-"/>
    <s v="Yes"/>
    <n v="20"/>
    <n v="10"/>
    <n v="20"/>
  </r>
  <r>
    <x v="3"/>
    <s v="Ana Souza"/>
    <x v="0"/>
    <x v="3"/>
    <x v="1"/>
    <n v="15"/>
    <x v="0"/>
    <x v="0"/>
    <n v="30"/>
    <s v="Yes"/>
    <n v="20"/>
    <n v="3"/>
    <n v="62"/>
  </r>
  <r>
    <x v="4"/>
    <s v="Pedro Gonçalves"/>
    <x v="1"/>
    <x v="4"/>
    <x v="0"/>
    <n v="5"/>
    <x v="0"/>
    <x v="1"/>
    <s v="-"/>
    <s v="No"/>
    <n v="0"/>
    <n v="1"/>
    <n v="4"/>
  </r>
  <r>
    <x v="5"/>
    <s v="Felipe Costa"/>
    <x v="2"/>
    <x v="5"/>
    <x v="1"/>
    <n v="10"/>
    <x v="0"/>
    <x v="1"/>
    <s v="-"/>
    <s v="Yes"/>
    <n v="20"/>
    <n v="2"/>
    <n v="28"/>
  </r>
  <r>
    <x v="6"/>
    <s v="Camila Ribeiro"/>
    <x v="0"/>
    <x v="6"/>
    <x v="0"/>
    <n v="15"/>
    <x v="2"/>
    <x v="0"/>
    <n v="30"/>
    <s v="Yes"/>
    <n v="20"/>
    <n v="10"/>
    <n v="55"/>
  </r>
  <r>
    <x v="7"/>
    <s v="André Mendes"/>
    <x v="1"/>
    <x v="7"/>
    <x v="0"/>
    <n v="5"/>
    <x v="1"/>
    <x v="1"/>
    <s v="-"/>
    <s v="No"/>
    <n v="0"/>
    <n v="0"/>
    <n v="5"/>
  </r>
  <r>
    <x v="8"/>
    <s v="Sofia Almeida"/>
    <x v="0"/>
    <x v="4"/>
    <x v="1"/>
    <n v="15"/>
    <x v="0"/>
    <x v="0"/>
    <n v="30"/>
    <s v="Yes"/>
    <n v="20"/>
    <n v="5"/>
    <n v="60"/>
  </r>
  <r>
    <x v="9"/>
    <s v="Bruno Martins"/>
    <x v="2"/>
    <x v="8"/>
    <x v="0"/>
    <n v="10"/>
    <x v="2"/>
    <x v="1"/>
    <s v="-"/>
    <s v="Yes"/>
    <n v="20"/>
    <n v="15"/>
    <n v="15"/>
  </r>
  <r>
    <x v="10"/>
    <s v="Rita Castro"/>
    <x v="1"/>
    <x v="9"/>
    <x v="1"/>
    <n v="5"/>
    <x v="0"/>
    <x v="1"/>
    <s v="-"/>
    <s v="No"/>
    <n v="0"/>
    <n v="1"/>
    <n v="4"/>
  </r>
  <r>
    <x v="11"/>
    <s v="Marco Túlio"/>
    <x v="0"/>
    <x v="10"/>
    <x v="0"/>
    <n v="15"/>
    <x v="1"/>
    <x v="0"/>
    <n v="30"/>
    <s v="Yes"/>
    <n v="20"/>
    <n v="20"/>
    <n v="45"/>
  </r>
  <r>
    <x v="12"/>
    <s v="Lívia Silveira"/>
    <x v="2"/>
    <x v="11"/>
    <x v="1"/>
    <n v="10"/>
    <x v="0"/>
    <x v="1"/>
    <s v="-"/>
    <s v="Yes"/>
    <n v="20"/>
    <n v="10"/>
    <n v="20"/>
  </r>
  <r>
    <x v="13"/>
    <s v="Diogo Sousa"/>
    <x v="1"/>
    <x v="12"/>
    <x v="0"/>
    <n v="5"/>
    <x v="2"/>
    <x v="1"/>
    <s v="-"/>
    <s v="No"/>
    <n v="0"/>
    <n v="0"/>
    <n v="5"/>
  </r>
  <r>
    <x v="14"/>
    <s v="Fernanda Lima"/>
    <x v="0"/>
    <x v="13"/>
    <x v="1"/>
    <n v="15"/>
    <x v="0"/>
    <x v="0"/>
    <n v="30"/>
    <s v="Yes"/>
    <n v="20"/>
    <n v="8"/>
    <n v="57"/>
  </r>
  <r>
    <x v="15"/>
    <s v="Caio Pereira"/>
    <x v="2"/>
    <x v="14"/>
    <x v="0"/>
    <n v="10"/>
    <x v="1"/>
    <x v="1"/>
    <s v="-"/>
    <s v="Yes"/>
    <n v="20"/>
    <n v="12"/>
    <n v="18"/>
  </r>
  <r>
    <x v="16"/>
    <s v="Beatriz Gomes"/>
    <x v="1"/>
    <x v="15"/>
    <x v="1"/>
    <n v="5"/>
    <x v="0"/>
    <x v="1"/>
    <s v="-"/>
    <s v="No"/>
    <n v="0"/>
    <n v="2"/>
    <n v="3"/>
  </r>
  <r>
    <x v="17"/>
    <s v="Cesar Oliveira"/>
    <x v="0"/>
    <x v="16"/>
    <x v="0"/>
    <n v="15"/>
    <x v="2"/>
    <x v="0"/>
    <n v="30"/>
    <s v="Yes"/>
    <n v="20"/>
    <n v="7"/>
    <n v="58"/>
  </r>
  <r>
    <x v="18"/>
    <s v="Débora Machado"/>
    <x v="2"/>
    <x v="17"/>
    <x v="1"/>
    <n v="10"/>
    <x v="0"/>
    <x v="1"/>
    <s v="-"/>
    <s v="Yes"/>
    <n v="20"/>
    <n v="5"/>
    <n v="25"/>
  </r>
  <r>
    <x v="19"/>
    <s v="Eduardo Vargas"/>
    <x v="1"/>
    <x v="18"/>
    <x v="0"/>
    <n v="5"/>
    <x v="1"/>
    <x v="1"/>
    <s v="-"/>
    <s v="No"/>
    <n v="0"/>
    <n v="0"/>
    <n v="5"/>
  </r>
  <r>
    <x v="20"/>
    <s v="Gabriela Santos"/>
    <x v="0"/>
    <x v="19"/>
    <x v="1"/>
    <n v="15"/>
    <x v="0"/>
    <x v="0"/>
    <n v="30"/>
    <s v="Yes"/>
    <n v="20"/>
    <n v="3"/>
    <n v="62"/>
  </r>
  <r>
    <x v="21"/>
    <s v="Henrique Dias"/>
    <x v="2"/>
    <x v="20"/>
    <x v="0"/>
    <n v="10"/>
    <x v="2"/>
    <x v="1"/>
    <s v="-"/>
    <s v="Yes"/>
    <n v="20"/>
    <n v="15"/>
    <n v="15"/>
  </r>
  <r>
    <x v="22"/>
    <s v="Isabela Moreira"/>
    <x v="1"/>
    <x v="21"/>
    <x v="1"/>
    <n v="5"/>
    <x v="0"/>
    <x v="1"/>
    <s v="-"/>
    <s v="No"/>
    <n v="0"/>
    <n v="1"/>
    <n v="4"/>
  </r>
  <r>
    <x v="23"/>
    <s v="Joaquim Barbosa"/>
    <x v="0"/>
    <x v="22"/>
    <x v="0"/>
    <n v="15"/>
    <x v="1"/>
    <x v="0"/>
    <n v="30"/>
    <s v="Yes"/>
    <n v="20"/>
    <n v="20"/>
    <n v="45"/>
  </r>
  <r>
    <x v="24"/>
    <s v="Lara Rocha"/>
    <x v="2"/>
    <x v="23"/>
    <x v="1"/>
    <n v="10"/>
    <x v="0"/>
    <x v="1"/>
    <s v="-"/>
    <s v="Yes"/>
    <n v="20"/>
    <n v="10"/>
    <n v="20"/>
  </r>
  <r>
    <x v="25"/>
    <s v="Matheus Silva"/>
    <x v="1"/>
    <x v="24"/>
    <x v="0"/>
    <n v="5"/>
    <x v="2"/>
    <x v="1"/>
    <s v="-"/>
    <s v="No"/>
    <n v="0"/>
    <n v="0"/>
    <n v="5"/>
  </r>
  <r>
    <x v="26"/>
    <s v="Nicole Costa"/>
    <x v="0"/>
    <x v="25"/>
    <x v="1"/>
    <n v="15"/>
    <x v="0"/>
    <x v="0"/>
    <n v="30"/>
    <s v="Yes"/>
    <n v="20"/>
    <n v="5"/>
    <n v="60"/>
  </r>
  <r>
    <x v="27"/>
    <s v="Otávio Mendonça"/>
    <x v="2"/>
    <x v="26"/>
    <x v="0"/>
    <n v="10"/>
    <x v="1"/>
    <x v="1"/>
    <s v="-"/>
    <s v="Yes"/>
    <n v="20"/>
    <n v="15"/>
    <n v="15"/>
  </r>
  <r>
    <x v="28"/>
    <s v="Paula Ferreira"/>
    <x v="1"/>
    <x v="27"/>
    <x v="1"/>
    <n v="5"/>
    <x v="0"/>
    <x v="1"/>
    <s v="-"/>
    <s v="No"/>
    <n v="0"/>
    <n v="1"/>
    <n v="4"/>
  </r>
  <r>
    <x v="29"/>
    <s v="Raquel Alves"/>
    <x v="0"/>
    <x v="28"/>
    <x v="0"/>
    <n v="15"/>
    <x v="2"/>
    <x v="0"/>
    <n v="30"/>
    <s v="Yes"/>
    <n v="20"/>
    <n v="7"/>
    <n v="58"/>
  </r>
  <r>
    <x v="30"/>
    <s v="Samuel Pires"/>
    <x v="2"/>
    <x v="29"/>
    <x v="1"/>
    <n v="10"/>
    <x v="0"/>
    <x v="1"/>
    <s v="-"/>
    <s v="Yes"/>
    <n v="20"/>
    <n v="10"/>
    <n v="20"/>
  </r>
  <r>
    <x v="31"/>
    <s v="Tânia Barros"/>
    <x v="1"/>
    <x v="30"/>
    <x v="0"/>
    <n v="5"/>
    <x v="1"/>
    <x v="1"/>
    <s v="-"/>
    <s v="No"/>
    <n v="0"/>
    <n v="0"/>
    <n v="5"/>
  </r>
  <r>
    <x v="32"/>
    <s v="Vinicius Lima"/>
    <x v="0"/>
    <x v="31"/>
    <x v="1"/>
    <n v="15"/>
    <x v="0"/>
    <x v="0"/>
    <n v="30"/>
    <s v="Yes"/>
    <n v="20"/>
    <n v="3"/>
    <n v="62"/>
  </r>
  <r>
    <x v="33"/>
    <s v="Yasmin Teixeira"/>
    <x v="2"/>
    <x v="32"/>
    <x v="0"/>
    <n v="10"/>
    <x v="2"/>
    <x v="1"/>
    <s v="-"/>
    <s v="Yes"/>
    <n v="20"/>
    <n v="15"/>
    <n v="15"/>
  </r>
  <r>
    <x v="34"/>
    <s v="Zé Carlos"/>
    <x v="1"/>
    <x v="33"/>
    <x v="1"/>
    <n v="5"/>
    <x v="0"/>
    <x v="1"/>
    <s v="-"/>
    <s v="No"/>
    <n v="0"/>
    <n v="1"/>
    <n v="4"/>
  </r>
  <r>
    <x v="35"/>
    <s v="Amanda Nogueira"/>
    <x v="1"/>
    <x v="34"/>
    <x v="0"/>
    <n v="5"/>
    <x v="0"/>
    <x v="1"/>
    <s v="-"/>
    <s v="No"/>
    <n v="0"/>
    <n v="0"/>
    <n v="5"/>
  </r>
  <r>
    <x v="36"/>
    <s v="Bruno Cavalheiro"/>
    <x v="0"/>
    <x v="35"/>
    <x v="1"/>
    <n v="15"/>
    <x v="2"/>
    <x v="0"/>
    <n v="30"/>
    <s v="Yes"/>
    <n v="20"/>
    <n v="7"/>
    <n v="58"/>
  </r>
  <r>
    <x v="37"/>
    <s v="Carla Dias"/>
    <x v="2"/>
    <x v="36"/>
    <x v="0"/>
    <n v="10"/>
    <x v="1"/>
    <x v="1"/>
    <s v="-"/>
    <s v="Yes"/>
    <n v="20"/>
    <n v="10"/>
    <n v="20"/>
  </r>
  <r>
    <x v="38"/>
    <s v="Diego Fontes"/>
    <x v="1"/>
    <x v="37"/>
    <x v="1"/>
    <n v="5"/>
    <x v="2"/>
    <x v="1"/>
    <s v="-"/>
    <s v="No"/>
    <n v="0"/>
    <n v="1"/>
    <n v="4"/>
  </r>
  <r>
    <x v="39"/>
    <s v="Eunice Lima"/>
    <x v="0"/>
    <x v="38"/>
    <x v="0"/>
    <n v="15"/>
    <x v="0"/>
    <x v="0"/>
    <n v="30"/>
    <s v="Yes"/>
    <n v="20"/>
    <n v="15"/>
    <n v="50"/>
  </r>
  <r>
    <x v="40"/>
    <s v="Fábio Martins"/>
    <x v="2"/>
    <x v="39"/>
    <x v="1"/>
    <n v="10"/>
    <x v="0"/>
    <x v="1"/>
    <s v="-"/>
    <s v="Yes"/>
    <n v="20"/>
    <n v="5"/>
    <n v="25"/>
  </r>
  <r>
    <x v="41"/>
    <s v="Gisele Araújo"/>
    <x v="1"/>
    <x v="40"/>
    <x v="0"/>
    <n v="5"/>
    <x v="1"/>
    <x v="1"/>
    <s v="-"/>
    <s v="No"/>
    <n v="0"/>
    <n v="0"/>
    <n v="5"/>
  </r>
  <r>
    <x v="42"/>
    <s v="Hélio Castro"/>
    <x v="0"/>
    <x v="41"/>
    <x v="1"/>
    <n v="15"/>
    <x v="2"/>
    <x v="0"/>
    <n v="30"/>
    <s v="Yes"/>
    <n v="20"/>
    <n v="20"/>
    <n v="45"/>
  </r>
  <r>
    <x v="43"/>
    <s v="Ingrid Menezes"/>
    <x v="2"/>
    <x v="42"/>
    <x v="0"/>
    <n v="10"/>
    <x v="2"/>
    <x v="1"/>
    <s v="-"/>
    <s v="Yes"/>
    <n v="20"/>
    <n v="12"/>
    <n v="18"/>
  </r>
  <r>
    <x v="44"/>
    <s v="Jorge Baptista"/>
    <x v="1"/>
    <x v="43"/>
    <x v="1"/>
    <n v="5"/>
    <x v="0"/>
    <x v="1"/>
    <s v="-"/>
    <s v="No"/>
    <n v="0"/>
    <n v="2"/>
    <n v="3"/>
  </r>
  <r>
    <x v="45"/>
    <s v="Kléber Oliveira"/>
    <x v="0"/>
    <x v="44"/>
    <x v="0"/>
    <n v="15"/>
    <x v="1"/>
    <x v="0"/>
    <n v="30"/>
    <s v="Yes"/>
    <n v="20"/>
    <n v="5"/>
    <n v="60"/>
  </r>
  <r>
    <x v="46"/>
    <s v="Luciana Freitas"/>
    <x v="2"/>
    <x v="45"/>
    <x v="1"/>
    <n v="10"/>
    <x v="0"/>
    <x v="1"/>
    <s v="-"/>
    <s v="Yes"/>
    <n v="20"/>
    <n v="10"/>
    <n v="20"/>
  </r>
  <r>
    <x v="47"/>
    <s v="Márcia Eller"/>
    <x v="1"/>
    <x v="46"/>
    <x v="0"/>
    <n v="5"/>
    <x v="2"/>
    <x v="1"/>
    <s v="-"/>
    <s v="No"/>
    <n v="0"/>
    <n v="0"/>
    <n v="5"/>
  </r>
  <r>
    <x v="48"/>
    <s v="Nilo Peçanha"/>
    <x v="0"/>
    <x v="47"/>
    <x v="1"/>
    <n v="15"/>
    <x v="0"/>
    <x v="0"/>
    <n v="30"/>
    <s v="Yes"/>
    <n v="20"/>
    <n v="3"/>
    <n v="62"/>
  </r>
  <r>
    <x v="49"/>
    <s v="Oscar Neves"/>
    <x v="2"/>
    <x v="48"/>
    <x v="0"/>
    <n v="10"/>
    <x v="1"/>
    <x v="1"/>
    <s v="-"/>
    <s v="Yes"/>
    <n v="20"/>
    <n v="15"/>
    <n v="15"/>
  </r>
  <r>
    <x v="50"/>
    <s v="Patrícia Soares"/>
    <x v="1"/>
    <x v="49"/>
    <x v="1"/>
    <n v="5"/>
    <x v="0"/>
    <x v="1"/>
    <s v="-"/>
    <s v="No"/>
    <n v="0"/>
    <n v="1"/>
    <n v="4"/>
  </r>
  <r>
    <x v="51"/>
    <s v="Quirino Gonçalves"/>
    <x v="0"/>
    <x v="50"/>
    <x v="0"/>
    <n v="15"/>
    <x v="2"/>
    <x v="0"/>
    <n v="30"/>
    <s v="Yes"/>
    <n v="20"/>
    <n v="7"/>
    <n v="58"/>
  </r>
  <r>
    <x v="52"/>
    <s v="Raul Machado"/>
    <x v="2"/>
    <x v="51"/>
    <x v="1"/>
    <n v="10"/>
    <x v="0"/>
    <x v="1"/>
    <s v="-"/>
    <s v="Yes"/>
    <n v="20"/>
    <n v="10"/>
    <n v="20"/>
  </r>
  <r>
    <x v="53"/>
    <s v="Sônia Lobo"/>
    <x v="1"/>
    <x v="52"/>
    <x v="0"/>
    <n v="5"/>
    <x v="1"/>
    <x v="1"/>
    <s v="-"/>
    <s v="No"/>
    <n v="0"/>
    <n v="0"/>
    <n v="5"/>
  </r>
  <r>
    <x v="54"/>
    <s v="Tiago Ramos"/>
    <x v="0"/>
    <x v="53"/>
    <x v="1"/>
    <n v="15"/>
    <x v="0"/>
    <x v="0"/>
    <n v="30"/>
    <s v="Yes"/>
    <n v="20"/>
    <n v="20"/>
    <n v="45"/>
  </r>
  <r>
    <x v="55"/>
    <s v="Ugo Pires"/>
    <x v="2"/>
    <x v="54"/>
    <x v="0"/>
    <n v="10"/>
    <x v="2"/>
    <x v="1"/>
    <s v="-"/>
    <s v="Yes"/>
    <n v="20"/>
    <n v="15"/>
    <n v="15"/>
  </r>
  <r>
    <x v="56"/>
    <s v="Valéria Nobre"/>
    <x v="1"/>
    <x v="55"/>
    <x v="1"/>
    <n v="5"/>
    <x v="0"/>
    <x v="1"/>
    <s v="-"/>
    <s v="No"/>
    <n v="0"/>
    <n v="1"/>
    <n v="4"/>
  </r>
  <r>
    <x v="57"/>
    <s v="William Siqueira"/>
    <x v="0"/>
    <x v="56"/>
    <x v="0"/>
    <n v="15"/>
    <x v="1"/>
    <x v="0"/>
    <n v="30"/>
    <s v="Yes"/>
    <n v="20"/>
    <n v="3"/>
    <n v="62"/>
  </r>
  <r>
    <x v="58"/>
    <s v="Xuxa Meneghel"/>
    <x v="2"/>
    <x v="57"/>
    <x v="1"/>
    <n v="10"/>
    <x v="0"/>
    <x v="1"/>
    <s v="-"/>
    <s v="Yes"/>
    <n v="20"/>
    <n v="10"/>
    <n v="20"/>
  </r>
  <r>
    <x v="59"/>
    <s v="Yara Figueiredo"/>
    <x v="1"/>
    <x v="58"/>
    <x v="0"/>
    <n v="5"/>
    <x v="2"/>
    <x v="1"/>
    <s v="-"/>
    <s v="No"/>
    <n v="0"/>
    <n v="0"/>
    <n v="5"/>
  </r>
  <r>
    <x v="60"/>
    <s v="Zacarias Alves"/>
    <x v="0"/>
    <x v="59"/>
    <x v="1"/>
    <n v="15"/>
    <x v="0"/>
    <x v="0"/>
    <n v="30"/>
    <s v="Yes"/>
    <n v="20"/>
    <n v="5"/>
    <n v="60"/>
  </r>
  <r>
    <x v="61"/>
    <s v="Amanda Bynes"/>
    <x v="2"/>
    <x v="60"/>
    <x v="0"/>
    <n v="10"/>
    <x v="1"/>
    <x v="1"/>
    <s v="-"/>
    <s v="Yes"/>
    <n v="20"/>
    <n v="15"/>
    <n v="15"/>
  </r>
  <r>
    <x v="62"/>
    <s v="Bruno Mars"/>
    <x v="1"/>
    <x v="61"/>
    <x v="1"/>
    <n v="5"/>
    <x v="0"/>
    <x v="1"/>
    <s v="-"/>
    <s v="No"/>
    <n v="0"/>
    <n v="1"/>
    <n v="4"/>
  </r>
  <r>
    <x v="63"/>
    <s v="Carla Bruni"/>
    <x v="0"/>
    <x v="62"/>
    <x v="0"/>
    <n v="15"/>
    <x v="2"/>
    <x v="0"/>
    <n v="30"/>
    <s v="Yes"/>
    <n v="20"/>
    <n v="20"/>
    <n v="45"/>
  </r>
  <r>
    <x v="64"/>
    <s v="Diego Maradona"/>
    <x v="2"/>
    <x v="63"/>
    <x v="1"/>
    <n v="10"/>
    <x v="0"/>
    <x v="1"/>
    <s v="-"/>
    <s v="Yes"/>
    <n v="20"/>
    <n v="5"/>
    <n v="25"/>
  </r>
  <r>
    <x v="65"/>
    <s v="Estela Marques"/>
    <x v="1"/>
    <x v="64"/>
    <x v="1"/>
    <n v="5"/>
    <x v="0"/>
    <x v="1"/>
    <s v="-"/>
    <s v="No"/>
    <n v="0"/>
    <n v="0"/>
    <n v="5"/>
  </r>
  <r>
    <x v="66"/>
    <s v="Fábio Nobre"/>
    <x v="0"/>
    <x v="65"/>
    <x v="0"/>
    <n v="15"/>
    <x v="2"/>
    <x v="0"/>
    <n v="30"/>
    <s v="Yes"/>
    <n v="20"/>
    <n v="7"/>
    <n v="58"/>
  </r>
  <r>
    <x v="67"/>
    <s v="Gabriel Oliveira"/>
    <x v="2"/>
    <x v="66"/>
    <x v="1"/>
    <n v="10"/>
    <x v="1"/>
    <x v="1"/>
    <s v="-"/>
    <s v="Yes"/>
    <n v="20"/>
    <n v="10"/>
    <n v="20"/>
  </r>
  <r>
    <x v="68"/>
    <s v="Helena Santos"/>
    <x v="1"/>
    <x v="67"/>
    <x v="0"/>
    <n v="5"/>
    <x v="2"/>
    <x v="1"/>
    <s v="-"/>
    <s v="No"/>
    <n v="0"/>
    <n v="1"/>
    <n v="4"/>
  </r>
  <r>
    <x v="69"/>
    <s v="Ivan Carvalho"/>
    <x v="0"/>
    <x v="68"/>
    <x v="1"/>
    <n v="15"/>
    <x v="0"/>
    <x v="0"/>
    <n v="30"/>
    <s v="Yes"/>
    <n v="20"/>
    <n v="15"/>
    <n v="50"/>
  </r>
  <r>
    <x v="70"/>
    <s v="Júlia Ferreira"/>
    <x v="2"/>
    <x v="69"/>
    <x v="0"/>
    <n v="10"/>
    <x v="0"/>
    <x v="1"/>
    <s v="-"/>
    <s v="Yes"/>
    <n v="20"/>
    <n v="5"/>
    <n v="25"/>
  </r>
  <r>
    <x v="71"/>
    <s v="Karla Alves"/>
    <x v="1"/>
    <x v="70"/>
    <x v="1"/>
    <n v="5"/>
    <x v="1"/>
    <x v="1"/>
    <s v="-"/>
    <s v="No"/>
    <n v="0"/>
    <n v="0"/>
    <n v="5"/>
  </r>
  <r>
    <x v="72"/>
    <s v="Lucas Mendes"/>
    <x v="0"/>
    <x v="71"/>
    <x v="0"/>
    <n v="15"/>
    <x v="2"/>
    <x v="0"/>
    <n v="30"/>
    <s v="Yes"/>
    <n v="20"/>
    <n v="20"/>
    <n v="45"/>
  </r>
  <r>
    <x v="73"/>
    <s v="Mônica Gomes"/>
    <x v="2"/>
    <x v="72"/>
    <x v="1"/>
    <n v="10"/>
    <x v="2"/>
    <x v="1"/>
    <s v="-"/>
    <s v="Yes"/>
    <n v="20"/>
    <n v="12"/>
    <n v="18"/>
  </r>
  <r>
    <x v="74"/>
    <s v="Norberto Queiroz"/>
    <x v="1"/>
    <x v="73"/>
    <x v="0"/>
    <n v="5"/>
    <x v="0"/>
    <x v="1"/>
    <s v="-"/>
    <s v="No"/>
    <n v="0"/>
    <n v="2"/>
    <n v="3"/>
  </r>
  <r>
    <x v="75"/>
    <s v="Otávio Barros"/>
    <x v="0"/>
    <x v="74"/>
    <x v="1"/>
    <n v="15"/>
    <x v="1"/>
    <x v="0"/>
    <n v="30"/>
    <s v="Yes"/>
    <n v="20"/>
    <n v="5"/>
    <n v="60"/>
  </r>
  <r>
    <x v="76"/>
    <s v="Paula Vieira"/>
    <x v="2"/>
    <x v="75"/>
    <x v="0"/>
    <n v="10"/>
    <x v="0"/>
    <x v="1"/>
    <s v="-"/>
    <s v="Yes"/>
    <n v="20"/>
    <n v="10"/>
    <n v="20"/>
  </r>
  <r>
    <x v="77"/>
    <s v="Quentin Ramos"/>
    <x v="1"/>
    <x v="76"/>
    <x v="1"/>
    <n v="5"/>
    <x v="2"/>
    <x v="1"/>
    <s v="-"/>
    <s v="No"/>
    <n v="0"/>
    <n v="0"/>
    <n v="5"/>
  </r>
  <r>
    <x v="78"/>
    <s v="Raquel Novaes"/>
    <x v="0"/>
    <x v="77"/>
    <x v="0"/>
    <n v="15"/>
    <x v="0"/>
    <x v="0"/>
    <n v="30"/>
    <s v="Yes"/>
    <n v="20"/>
    <n v="3"/>
    <n v="62"/>
  </r>
  <r>
    <x v="79"/>
    <s v="Samantha Lopes"/>
    <x v="2"/>
    <x v="78"/>
    <x v="1"/>
    <n v="10"/>
    <x v="1"/>
    <x v="1"/>
    <s v="-"/>
    <s v="Yes"/>
    <n v="20"/>
    <n v="15"/>
    <n v="15"/>
  </r>
  <r>
    <x v="80"/>
    <s v="Tiago Martins"/>
    <x v="1"/>
    <x v="79"/>
    <x v="0"/>
    <n v="5"/>
    <x v="0"/>
    <x v="1"/>
    <s v="-"/>
    <s v="No"/>
    <n v="0"/>
    <n v="1"/>
    <n v="4"/>
  </r>
  <r>
    <x v="81"/>
    <s v="Ulysses Guimarães"/>
    <x v="0"/>
    <x v="80"/>
    <x v="1"/>
    <n v="15"/>
    <x v="2"/>
    <x v="0"/>
    <n v="30"/>
    <s v="Yes"/>
    <n v="20"/>
    <n v="7"/>
    <n v="58"/>
  </r>
  <r>
    <x v="82"/>
    <s v="Vanessa Silva"/>
    <x v="2"/>
    <x v="81"/>
    <x v="0"/>
    <n v="10"/>
    <x v="0"/>
    <x v="1"/>
    <s v="-"/>
    <s v="Yes"/>
    <n v="20"/>
    <n v="10"/>
    <n v="20"/>
  </r>
  <r>
    <x v="83"/>
    <s v="William Carneiro"/>
    <x v="1"/>
    <x v="82"/>
    <x v="1"/>
    <n v="5"/>
    <x v="1"/>
    <x v="1"/>
    <s v="-"/>
    <s v="No"/>
    <n v="0"/>
    <n v="0"/>
    <n v="5"/>
  </r>
  <r>
    <x v="84"/>
    <s v="Ximena Rocha"/>
    <x v="0"/>
    <x v="83"/>
    <x v="0"/>
    <n v="15"/>
    <x v="0"/>
    <x v="0"/>
    <n v="30"/>
    <s v="Yes"/>
    <n v="20"/>
    <n v="20"/>
    <n v="45"/>
  </r>
  <r>
    <x v="85"/>
    <s v="Yasmin Figueiredo"/>
    <x v="2"/>
    <x v="84"/>
    <x v="1"/>
    <n v="10"/>
    <x v="2"/>
    <x v="1"/>
    <s v="-"/>
    <s v="Yes"/>
    <n v="20"/>
    <n v="15"/>
    <n v="15"/>
  </r>
  <r>
    <x v="86"/>
    <s v="Zara Cunha"/>
    <x v="1"/>
    <x v="85"/>
    <x v="0"/>
    <n v="5"/>
    <x v="0"/>
    <x v="1"/>
    <s v="-"/>
    <s v="No"/>
    <n v="0"/>
    <n v="1"/>
    <n v="4"/>
  </r>
  <r>
    <x v="87"/>
    <s v="Alan Teixeira"/>
    <x v="0"/>
    <x v="86"/>
    <x v="1"/>
    <n v="15"/>
    <x v="1"/>
    <x v="0"/>
    <n v="30"/>
    <s v="Yes"/>
    <n v="20"/>
    <n v="3"/>
    <n v="62"/>
  </r>
  <r>
    <x v="88"/>
    <s v="Bárbara Oliveira"/>
    <x v="2"/>
    <x v="87"/>
    <x v="0"/>
    <n v="10"/>
    <x v="0"/>
    <x v="1"/>
    <s v="-"/>
    <s v="Yes"/>
    <n v="20"/>
    <n v="10"/>
    <n v="20"/>
  </r>
  <r>
    <x v="89"/>
    <s v="Carlos Junqueira"/>
    <x v="1"/>
    <x v="88"/>
    <x v="1"/>
    <n v="5"/>
    <x v="2"/>
    <x v="1"/>
    <s v="-"/>
    <s v="No"/>
    <n v="0"/>
    <n v="0"/>
    <n v="5"/>
  </r>
  <r>
    <x v="90"/>
    <s v="Daniela Moura"/>
    <x v="0"/>
    <x v="89"/>
    <x v="0"/>
    <n v="15"/>
    <x v="0"/>
    <x v="0"/>
    <n v="30"/>
    <s v="Yes"/>
    <n v="20"/>
    <n v="5"/>
    <n v="60"/>
  </r>
  <r>
    <x v="91"/>
    <s v="Eduardo Lima"/>
    <x v="2"/>
    <x v="90"/>
    <x v="1"/>
    <n v="10"/>
    <x v="1"/>
    <x v="1"/>
    <s v="-"/>
    <s v="Yes"/>
    <n v="20"/>
    <n v="15"/>
    <n v="15"/>
  </r>
  <r>
    <x v="92"/>
    <s v="Fabiana Araújo"/>
    <x v="1"/>
    <x v="91"/>
    <x v="0"/>
    <n v="5"/>
    <x v="0"/>
    <x v="1"/>
    <s v="-"/>
    <s v="No"/>
    <n v="0"/>
    <n v="1"/>
    <n v="4"/>
  </r>
  <r>
    <x v="93"/>
    <s v="Geraldo Ribeiro"/>
    <x v="0"/>
    <x v="92"/>
    <x v="1"/>
    <n v="15"/>
    <x v="2"/>
    <x v="0"/>
    <n v="30"/>
    <s v="Yes"/>
    <n v="20"/>
    <n v="20"/>
    <n v="45"/>
  </r>
  <r>
    <x v="94"/>
    <s v="Héctor Vargas"/>
    <x v="2"/>
    <x v="93"/>
    <x v="0"/>
    <n v="10"/>
    <x v="2"/>
    <x v="1"/>
    <s v="-"/>
    <s v="Yes"/>
    <n v="20"/>
    <n v="15"/>
    <n v="15"/>
  </r>
  <r>
    <x v="95"/>
    <s v="Isabela Fonseca"/>
    <x v="1"/>
    <x v="94"/>
    <x v="1"/>
    <n v="5"/>
    <x v="1"/>
    <x v="1"/>
    <s v="-"/>
    <s v="No"/>
    <n v="0"/>
    <n v="0"/>
    <n v="5"/>
  </r>
  <r>
    <x v="96"/>
    <s v="João Pedro Almeida"/>
    <x v="0"/>
    <x v="95"/>
    <x v="0"/>
    <n v="15"/>
    <x v="0"/>
    <x v="0"/>
    <n v="30"/>
    <s v="Yes"/>
    <n v="20"/>
    <n v="7"/>
    <n v="58"/>
  </r>
  <r>
    <x v="97"/>
    <s v="Klara Costa"/>
    <x v="2"/>
    <x v="96"/>
    <x v="1"/>
    <n v="10"/>
    <x v="1"/>
    <x v="1"/>
    <s v="-"/>
    <s v="Yes"/>
    <n v="20"/>
    <n v="10"/>
    <n v="20"/>
  </r>
  <r>
    <x v="98"/>
    <s v="Luciana Mendes"/>
    <x v="1"/>
    <x v="97"/>
    <x v="0"/>
    <n v="5"/>
    <x v="2"/>
    <x v="1"/>
    <s v="-"/>
    <s v="No"/>
    <n v="0"/>
    <n v="1"/>
    <n v="4"/>
  </r>
  <r>
    <x v="99"/>
    <s v="Marcelo Gouveia"/>
    <x v="0"/>
    <x v="98"/>
    <x v="1"/>
    <n v="15"/>
    <x v="0"/>
    <x v="0"/>
    <n v="30"/>
    <s v="Yes"/>
    <n v="20"/>
    <n v="15"/>
    <n v="50"/>
  </r>
  <r>
    <x v="100"/>
    <s v="Nívea Borges"/>
    <x v="2"/>
    <x v="99"/>
    <x v="0"/>
    <n v="10"/>
    <x v="0"/>
    <x v="1"/>
    <s v="-"/>
    <s v="Yes"/>
    <n v="20"/>
    <n v="5"/>
    <n v="25"/>
  </r>
  <r>
    <x v="101"/>
    <s v="Oscar Nogueira"/>
    <x v="1"/>
    <x v="100"/>
    <x v="1"/>
    <n v="5"/>
    <x v="1"/>
    <x v="1"/>
    <s v="-"/>
    <s v="No"/>
    <n v="0"/>
    <n v="0"/>
    <n v="5"/>
  </r>
  <r>
    <x v="102"/>
    <s v="Patrícia Alves"/>
    <x v="0"/>
    <x v="101"/>
    <x v="0"/>
    <n v="15"/>
    <x v="2"/>
    <x v="0"/>
    <n v="30"/>
    <s v="Yes"/>
    <n v="20"/>
    <n v="20"/>
    <n v="45"/>
  </r>
  <r>
    <x v="103"/>
    <s v="Rafaela Silva"/>
    <x v="2"/>
    <x v="102"/>
    <x v="1"/>
    <n v="10"/>
    <x v="2"/>
    <x v="1"/>
    <s v="-"/>
    <s v="Yes"/>
    <n v="20"/>
    <n v="12"/>
    <n v="18"/>
  </r>
  <r>
    <x v="104"/>
    <s v="Samantha Moraes"/>
    <x v="1"/>
    <x v="103"/>
    <x v="0"/>
    <n v="5"/>
    <x v="0"/>
    <x v="1"/>
    <s v="-"/>
    <s v="No"/>
    <n v="0"/>
    <n v="2"/>
    <n v="3"/>
  </r>
  <r>
    <x v="105"/>
    <s v="Tatiana Rocha"/>
    <x v="1"/>
    <x v="104"/>
    <x v="0"/>
    <n v="5"/>
    <x v="0"/>
    <x v="1"/>
    <s v="-"/>
    <s v="No"/>
    <n v="0"/>
    <n v="0"/>
    <n v="5"/>
  </r>
  <r>
    <x v="106"/>
    <s v="Ulisses Tavares"/>
    <x v="0"/>
    <x v="105"/>
    <x v="1"/>
    <n v="15"/>
    <x v="2"/>
    <x v="0"/>
    <n v="30"/>
    <s v="Yes"/>
    <n v="20"/>
    <n v="7"/>
    <n v="58"/>
  </r>
  <r>
    <x v="107"/>
    <s v="Víctor Lemos"/>
    <x v="2"/>
    <x v="106"/>
    <x v="0"/>
    <n v="10"/>
    <x v="1"/>
    <x v="1"/>
    <s v="-"/>
    <s v="Yes"/>
    <n v="20"/>
    <n v="10"/>
    <n v="20"/>
  </r>
  <r>
    <x v="108"/>
    <s v="Wilma Barros"/>
    <x v="1"/>
    <x v="107"/>
    <x v="1"/>
    <n v="5"/>
    <x v="2"/>
    <x v="1"/>
    <s v="-"/>
    <s v="No"/>
    <n v="0"/>
    <n v="1"/>
    <n v="4"/>
  </r>
  <r>
    <x v="109"/>
    <s v="Xavier Nascimento"/>
    <x v="0"/>
    <x v="108"/>
    <x v="0"/>
    <n v="15"/>
    <x v="0"/>
    <x v="0"/>
    <n v="30"/>
    <s v="Yes"/>
    <n v="20"/>
    <n v="15"/>
    <n v="50"/>
  </r>
  <r>
    <x v="110"/>
    <s v="Yago Pereira"/>
    <x v="2"/>
    <x v="109"/>
    <x v="1"/>
    <n v="10"/>
    <x v="0"/>
    <x v="1"/>
    <s v="-"/>
    <s v="Yes"/>
    <n v="20"/>
    <n v="5"/>
    <n v="25"/>
  </r>
  <r>
    <x v="111"/>
    <s v="Zilda Ferreira"/>
    <x v="1"/>
    <x v="110"/>
    <x v="0"/>
    <n v="5"/>
    <x v="1"/>
    <x v="1"/>
    <s v="-"/>
    <s v="No"/>
    <n v="0"/>
    <n v="0"/>
    <n v="5"/>
  </r>
  <r>
    <x v="112"/>
    <s v="Amanda Lopes"/>
    <x v="0"/>
    <x v="111"/>
    <x v="1"/>
    <n v="15"/>
    <x v="2"/>
    <x v="0"/>
    <n v="30"/>
    <s v="Yes"/>
    <n v="20"/>
    <n v="20"/>
    <n v="45"/>
  </r>
  <r>
    <x v="113"/>
    <s v="Bruno Miranda"/>
    <x v="2"/>
    <x v="112"/>
    <x v="0"/>
    <n v="10"/>
    <x v="2"/>
    <x v="1"/>
    <s v="-"/>
    <s v="Yes"/>
    <n v="20"/>
    <n v="12"/>
    <n v="18"/>
  </r>
  <r>
    <x v="114"/>
    <s v="Célia Torres"/>
    <x v="1"/>
    <x v="113"/>
    <x v="1"/>
    <n v="5"/>
    <x v="0"/>
    <x v="1"/>
    <s v="-"/>
    <s v="No"/>
    <n v="0"/>
    <n v="2"/>
    <n v="3"/>
  </r>
  <r>
    <x v="115"/>
    <s v="Diogo Souza"/>
    <x v="0"/>
    <x v="114"/>
    <x v="0"/>
    <n v="15"/>
    <x v="1"/>
    <x v="0"/>
    <n v="30"/>
    <s v="Yes"/>
    <n v="20"/>
    <n v="5"/>
    <n v="60"/>
  </r>
  <r>
    <x v="116"/>
    <s v="Elisa Castro"/>
    <x v="2"/>
    <x v="115"/>
    <x v="1"/>
    <n v="10"/>
    <x v="0"/>
    <x v="1"/>
    <s v="-"/>
    <s v="Yes"/>
    <n v="20"/>
    <n v="10"/>
    <n v="20"/>
  </r>
  <r>
    <x v="117"/>
    <s v="Fátima Lima"/>
    <x v="1"/>
    <x v="116"/>
    <x v="0"/>
    <n v="5"/>
    <x v="2"/>
    <x v="1"/>
    <s v="-"/>
    <s v="No"/>
    <n v="0"/>
    <n v="0"/>
    <n v="5"/>
  </r>
  <r>
    <x v="118"/>
    <s v="Geraldo Ribeiro"/>
    <x v="0"/>
    <x v="117"/>
    <x v="1"/>
    <n v="15"/>
    <x v="0"/>
    <x v="0"/>
    <n v="30"/>
    <s v="Yes"/>
    <n v="20"/>
    <n v="3"/>
    <n v="62"/>
  </r>
  <r>
    <x v="119"/>
    <s v="Hélio Martins"/>
    <x v="2"/>
    <x v="118"/>
    <x v="0"/>
    <n v="10"/>
    <x v="1"/>
    <x v="1"/>
    <s v="-"/>
    <s v="Yes"/>
    <n v="20"/>
    <n v="15"/>
    <n v="15"/>
  </r>
  <r>
    <x v="120"/>
    <s v="Íris Santos"/>
    <x v="1"/>
    <x v="119"/>
    <x v="1"/>
    <n v="5"/>
    <x v="0"/>
    <x v="1"/>
    <s v="-"/>
    <s v="No"/>
    <n v="0"/>
    <n v="1"/>
    <n v="4"/>
  </r>
  <r>
    <x v="121"/>
    <s v="João Marcelo"/>
    <x v="0"/>
    <x v="120"/>
    <x v="0"/>
    <n v="15"/>
    <x v="2"/>
    <x v="0"/>
    <n v="30"/>
    <s v="Yes"/>
    <n v="20"/>
    <n v="7"/>
    <n v="58"/>
  </r>
  <r>
    <x v="122"/>
    <s v="Larissa Gomes"/>
    <x v="2"/>
    <x v="121"/>
    <x v="1"/>
    <n v="10"/>
    <x v="0"/>
    <x v="1"/>
    <s v="-"/>
    <s v="Yes"/>
    <n v="20"/>
    <n v="10"/>
    <n v="20"/>
  </r>
  <r>
    <x v="123"/>
    <s v="Márcio Silva"/>
    <x v="1"/>
    <x v="122"/>
    <x v="0"/>
    <n v="5"/>
    <x v="1"/>
    <x v="1"/>
    <s v="-"/>
    <s v="No"/>
    <n v="0"/>
    <n v="0"/>
    <n v="5"/>
  </r>
  <r>
    <x v="124"/>
    <s v="Nadia Costa"/>
    <x v="0"/>
    <x v="123"/>
    <x v="1"/>
    <n v="15"/>
    <x v="0"/>
    <x v="0"/>
    <n v="30"/>
    <s v="Yes"/>
    <n v="20"/>
    <n v="20"/>
    <n v="45"/>
  </r>
  <r>
    <x v="125"/>
    <s v="Oscar Almeida"/>
    <x v="2"/>
    <x v="124"/>
    <x v="0"/>
    <n v="10"/>
    <x v="2"/>
    <x v="1"/>
    <s v="-"/>
    <s v="Yes"/>
    <n v="20"/>
    <n v="15"/>
    <n v="15"/>
  </r>
  <r>
    <x v="126"/>
    <s v="Patricia Soares"/>
    <x v="1"/>
    <x v="125"/>
    <x v="1"/>
    <n v="5"/>
    <x v="0"/>
    <x v="1"/>
    <s v="-"/>
    <s v="No"/>
    <n v="0"/>
    <n v="1"/>
    <n v="4"/>
  </r>
  <r>
    <x v="127"/>
    <s v="Quênia Barros"/>
    <x v="0"/>
    <x v="126"/>
    <x v="0"/>
    <n v="15"/>
    <x v="1"/>
    <x v="0"/>
    <n v="30"/>
    <s v="Yes"/>
    <n v="20"/>
    <n v="3"/>
    <n v="62"/>
  </r>
  <r>
    <x v="128"/>
    <s v="Rafael Torres"/>
    <x v="2"/>
    <x v="127"/>
    <x v="1"/>
    <n v="10"/>
    <x v="0"/>
    <x v="1"/>
    <s v="-"/>
    <s v="Yes"/>
    <n v="20"/>
    <n v="10"/>
    <n v="20"/>
  </r>
  <r>
    <x v="129"/>
    <s v="Silvia Nascimento"/>
    <x v="1"/>
    <x v="128"/>
    <x v="0"/>
    <n v="5"/>
    <x v="2"/>
    <x v="1"/>
    <s v="-"/>
    <s v="No"/>
    <n v="0"/>
    <n v="0"/>
    <n v="5"/>
  </r>
  <r>
    <x v="130"/>
    <s v="Tiago Mendes"/>
    <x v="0"/>
    <x v="129"/>
    <x v="1"/>
    <n v="15"/>
    <x v="0"/>
    <x v="0"/>
    <n v="30"/>
    <s v="Yes"/>
    <n v="20"/>
    <n v="15"/>
    <n v="50"/>
  </r>
  <r>
    <x v="131"/>
    <s v="Ursula Silva"/>
    <x v="2"/>
    <x v="130"/>
    <x v="0"/>
    <n v="10"/>
    <x v="1"/>
    <x v="1"/>
    <s v="-"/>
    <s v="Yes"/>
    <n v="20"/>
    <n v="15"/>
    <n v="15"/>
  </r>
  <r>
    <x v="132"/>
    <s v="Vanessa Moraes"/>
    <x v="1"/>
    <x v="131"/>
    <x v="1"/>
    <n v="5"/>
    <x v="0"/>
    <x v="1"/>
    <s v="-"/>
    <s v="No"/>
    <n v="0"/>
    <n v="1"/>
    <n v="4"/>
  </r>
  <r>
    <x v="133"/>
    <s v="Waldir Junior"/>
    <x v="0"/>
    <x v="132"/>
    <x v="0"/>
    <n v="15"/>
    <x v="2"/>
    <x v="0"/>
    <n v="30"/>
    <s v="Yes"/>
    <n v="20"/>
    <n v="7"/>
    <n v="58"/>
  </r>
  <r>
    <x v="134"/>
    <s v="Xavier Lopes"/>
    <x v="2"/>
    <x v="133"/>
    <x v="1"/>
    <n v="10"/>
    <x v="0"/>
    <x v="1"/>
    <s v="-"/>
    <s v="Yes"/>
    <n v="20"/>
    <n v="10"/>
    <n v="20"/>
  </r>
  <r>
    <x v="135"/>
    <s v="Yolanda Freitas"/>
    <x v="1"/>
    <x v="134"/>
    <x v="0"/>
    <n v="5"/>
    <x v="0"/>
    <x v="1"/>
    <s v="-"/>
    <s v="No"/>
    <n v="0"/>
    <n v="0"/>
    <n v="5"/>
  </r>
  <r>
    <x v="136"/>
    <s v="Zacarias Nunes"/>
    <x v="0"/>
    <x v="135"/>
    <x v="1"/>
    <n v="15"/>
    <x v="2"/>
    <x v="0"/>
    <n v="30"/>
    <s v="Yes"/>
    <n v="20"/>
    <n v="7"/>
    <n v="58"/>
  </r>
  <r>
    <x v="137"/>
    <s v="Ana Clara Barreto"/>
    <x v="2"/>
    <x v="136"/>
    <x v="0"/>
    <n v="10"/>
    <x v="1"/>
    <x v="1"/>
    <s v="-"/>
    <s v="Yes"/>
    <n v="20"/>
    <n v="10"/>
    <n v="20"/>
  </r>
  <r>
    <x v="138"/>
    <s v="Bruno Henrique"/>
    <x v="1"/>
    <x v="137"/>
    <x v="1"/>
    <n v="5"/>
    <x v="2"/>
    <x v="1"/>
    <s v="-"/>
    <s v="No"/>
    <n v="0"/>
    <n v="1"/>
    <n v="4"/>
  </r>
  <r>
    <x v="139"/>
    <s v="Carlos Eduardo"/>
    <x v="0"/>
    <x v="138"/>
    <x v="0"/>
    <n v="15"/>
    <x v="0"/>
    <x v="0"/>
    <n v="30"/>
    <s v="Yes"/>
    <n v="20"/>
    <n v="15"/>
    <n v="50"/>
  </r>
  <r>
    <x v="140"/>
    <s v="Débora Lima"/>
    <x v="2"/>
    <x v="139"/>
    <x v="1"/>
    <n v="10"/>
    <x v="0"/>
    <x v="1"/>
    <s v="-"/>
    <s v="Yes"/>
    <n v="20"/>
    <n v="5"/>
    <n v="25"/>
  </r>
  <r>
    <x v="141"/>
    <s v="Elisa Neves"/>
    <x v="1"/>
    <x v="140"/>
    <x v="0"/>
    <n v="5"/>
    <x v="1"/>
    <x v="1"/>
    <s v="-"/>
    <s v="No"/>
    <n v="0"/>
    <n v="0"/>
    <n v="5"/>
  </r>
  <r>
    <x v="142"/>
    <s v="Fabiano Gomes"/>
    <x v="0"/>
    <x v="141"/>
    <x v="1"/>
    <n v="15"/>
    <x v="2"/>
    <x v="0"/>
    <n v="30"/>
    <s v="Yes"/>
    <n v="20"/>
    <n v="20"/>
    <n v="45"/>
  </r>
  <r>
    <x v="143"/>
    <s v="Gisele Oliveira"/>
    <x v="2"/>
    <x v="142"/>
    <x v="0"/>
    <n v="10"/>
    <x v="2"/>
    <x v="1"/>
    <s v="-"/>
    <s v="Yes"/>
    <n v="20"/>
    <n v="12"/>
    <n v="18"/>
  </r>
  <r>
    <x v="144"/>
    <s v="Héctor Silva"/>
    <x v="1"/>
    <x v="143"/>
    <x v="1"/>
    <n v="5"/>
    <x v="0"/>
    <x v="1"/>
    <s v="-"/>
    <s v="No"/>
    <n v="0"/>
    <n v="2"/>
    <n v="3"/>
  </r>
  <r>
    <x v="145"/>
    <s v="Igor Martins"/>
    <x v="0"/>
    <x v="144"/>
    <x v="0"/>
    <n v="15"/>
    <x v="1"/>
    <x v="0"/>
    <n v="30"/>
    <s v="Yes"/>
    <n v="20"/>
    <n v="5"/>
    <n v="60"/>
  </r>
  <r>
    <x v="146"/>
    <s v="Joana Figueiredo"/>
    <x v="2"/>
    <x v="145"/>
    <x v="1"/>
    <n v="10"/>
    <x v="0"/>
    <x v="1"/>
    <s v="-"/>
    <s v="Yes"/>
    <n v="20"/>
    <n v="10"/>
    <n v="20"/>
  </r>
  <r>
    <x v="147"/>
    <s v="Kleber Machado"/>
    <x v="1"/>
    <x v="146"/>
    <x v="0"/>
    <n v="5"/>
    <x v="2"/>
    <x v="1"/>
    <s v="-"/>
    <s v="No"/>
    <n v="0"/>
    <n v="0"/>
    <n v="5"/>
  </r>
  <r>
    <x v="148"/>
    <s v="Luciana Santos"/>
    <x v="0"/>
    <x v="147"/>
    <x v="1"/>
    <n v="15"/>
    <x v="0"/>
    <x v="0"/>
    <n v="30"/>
    <s v="Yes"/>
    <n v="20"/>
    <n v="3"/>
    <n v="62"/>
  </r>
  <r>
    <x v="149"/>
    <s v="Marcos Teixeira"/>
    <x v="2"/>
    <x v="148"/>
    <x v="0"/>
    <n v="10"/>
    <x v="1"/>
    <x v="1"/>
    <s v="-"/>
    <s v="Yes"/>
    <n v="20"/>
    <n v="15"/>
    <n v="15"/>
  </r>
  <r>
    <x v="150"/>
    <s v="Natalia Costa"/>
    <x v="1"/>
    <x v="149"/>
    <x v="1"/>
    <n v="5"/>
    <x v="0"/>
    <x v="1"/>
    <s v="-"/>
    <s v="No"/>
    <n v="0"/>
    <n v="1"/>
    <n v="4"/>
  </r>
  <r>
    <x v="151"/>
    <s v="Oscar Ribeiro"/>
    <x v="0"/>
    <x v="150"/>
    <x v="0"/>
    <n v="15"/>
    <x v="2"/>
    <x v="0"/>
    <n v="30"/>
    <s v="Yes"/>
    <n v="20"/>
    <n v="7"/>
    <n v="58"/>
  </r>
  <r>
    <x v="152"/>
    <s v="Patricia Almeida"/>
    <x v="2"/>
    <x v="151"/>
    <x v="1"/>
    <n v="10"/>
    <x v="0"/>
    <x v="1"/>
    <s v="-"/>
    <s v="Yes"/>
    <n v="20"/>
    <n v="10"/>
    <n v="20"/>
  </r>
  <r>
    <x v="153"/>
    <s v="Quirino Junior"/>
    <x v="1"/>
    <x v="152"/>
    <x v="0"/>
    <n v="5"/>
    <x v="1"/>
    <x v="1"/>
    <s v="-"/>
    <s v="No"/>
    <n v="0"/>
    <n v="0"/>
    <n v="5"/>
  </r>
  <r>
    <x v="154"/>
    <s v="Renata Machado"/>
    <x v="0"/>
    <x v="153"/>
    <x v="1"/>
    <n v="15"/>
    <x v="0"/>
    <x v="0"/>
    <n v="30"/>
    <s v="Yes"/>
    <n v="20"/>
    <n v="20"/>
    <n v="45"/>
  </r>
  <r>
    <x v="155"/>
    <s v="Sônia Alves"/>
    <x v="2"/>
    <x v="154"/>
    <x v="0"/>
    <n v="10"/>
    <x v="2"/>
    <x v="1"/>
    <s v="-"/>
    <s v="Yes"/>
    <n v="20"/>
    <n v="15"/>
    <n v="15"/>
  </r>
  <r>
    <x v="156"/>
    <s v="Tiago Nunes"/>
    <x v="1"/>
    <x v="155"/>
    <x v="1"/>
    <n v="5"/>
    <x v="0"/>
    <x v="1"/>
    <s v="-"/>
    <s v="No"/>
    <n v="0"/>
    <n v="1"/>
    <n v="4"/>
  </r>
  <r>
    <x v="157"/>
    <s v="Ulysses Pereira"/>
    <x v="0"/>
    <x v="156"/>
    <x v="0"/>
    <n v="15"/>
    <x v="1"/>
    <x v="0"/>
    <n v="30"/>
    <s v="Yes"/>
    <n v="20"/>
    <n v="3"/>
    <n v="62"/>
  </r>
  <r>
    <x v="158"/>
    <s v="Vanessa Lima"/>
    <x v="2"/>
    <x v="157"/>
    <x v="1"/>
    <n v="10"/>
    <x v="0"/>
    <x v="1"/>
    <s v="-"/>
    <s v="Yes"/>
    <n v="20"/>
    <n v="10"/>
    <n v="20"/>
  </r>
  <r>
    <x v="159"/>
    <s v="Wagner Santos"/>
    <x v="1"/>
    <x v="158"/>
    <x v="0"/>
    <n v="5"/>
    <x v="2"/>
    <x v="1"/>
    <s v="-"/>
    <s v="No"/>
    <n v="0"/>
    <n v="0"/>
    <n v="5"/>
  </r>
  <r>
    <x v="160"/>
    <s v="Xuxa Meneghel"/>
    <x v="0"/>
    <x v="159"/>
    <x v="1"/>
    <n v="15"/>
    <x v="0"/>
    <x v="0"/>
    <n v="30"/>
    <s v="Yes"/>
    <n v="20"/>
    <n v="15"/>
    <n v="50"/>
  </r>
  <r>
    <x v="161"/>
    <s v="Yasmin Silva"/>
    <x v="2"/>
    <x v="160"/>
    <x v="0"/>
    <n v="10"/>
    <x v="1"/>
    <x v="1"/>
    <s v="-"/>
    <s v="Yes"/>
    <n v="20"/>
    <n v="15"/>
    <n v="15"/>
  </r>
  <r>
    <x v="162"/>
    <s v="Zacarias de Souza"/>
    <x v="1"/>
    <x v="161"/>
    <x v="1"/>
    <n v="5"/>
    <x v="0"/>
    <x v="1"/>
    <s v="-"/>
    <s v="No"/>
    <n v="0"/>
    <n v="1"/>
    <n v="4"/>
  </r>
  <r>
    <x v="163"/>
    <s v="André Lima"/>
    <x v="0"/>
    <x v="162"/>
    <x v="0"/>
    <n v="15"/>
    <x v="2"/>
    <x v="0"/>
    <n v="30"/>
    <s v="Yes"/>
    <n v="20"/>
    <n v="7"/>
    <n v="58"/>
  </r>
  <r>
    <x v="164"/>
    <s v="Bianca Freitas"/>
    <x v="2"/>
    <x v="163"/>
    <x v="1"/>
    <n v="10"/>
    <x v="0"/>
    <x v="1"/>
    <s v="-"/>
    <s v="Yes"/>
    <n v="20"/>
    <n v="10"/>
    <n v="20"/>
  </r>
  <r>
    <x v="165"/>
    <s v="Caio Mendes"/>
    <x v="1"/>
    <x v="164"/>
    <x v="0"/>
    <n v="5"/>
    <x v="1"/>
    <x v="1"/>
    <s v="-"/>
    <s v="No"/>
    <n v="0"/>
    <n v="0"/>
    <n v="5"/>
  </r>
  <r>
    <x v="166"/>
    <s v="Daniela Moura"/>
    <x v="0"/>
    <x v="165"/>
    <x v="1"/>
    <n v="15"/>
    <x v="0"/>
    <x v="0"/>
    <n v="30"/>
    <s v="Yes"/>
    <n v="20"/>
    <n v="20"/>
    <n v="45"/>
  </r>
  <r>
    <x v="167"/>
    <s v="Eduardo Costa"/>
    <x v="2"/>
    <x v="166"/>
    <x v="0"/>
    <n v="10"/>
    <x v="2"/>
    <x v="1"/>
    <s v="-"/>
    <s v="Yes"/>
    <n v="20"/>
    <n v="15"/>
    <n v="15"/>
  </r>
  <r>
    <x v="168"/>
    <s v="Fernanda Gomes"/>
    <x v="1"/>
    <x v="167"/>
    <x v="1"/>
    <n v="5"/>
    <x v="0"/>
    <x v="1"/>
    <s v="-"/>
    <s v="No"/>
    <n v="0"/>
    <n v="1"/>
    <n v="4"/>
  </r>
  <r>
    <x v="169"/>
    <s v="Guilherme Souza"/>
    <x v="0"/>
    <x v="168"/>
    <x v="0"/>
    <n v="15"/>
    <x v="1"/>
    <x v="0"/>
    <n v="30"/>
    <s v="Yes"/>
    <n v="20"/>
    <n v="5"/>
    <n v="60"/>
  </r>
  <r>
    <x v="170"/>
    <s v="Helena Ribeiro"/>
    <x v="2"/>
    <x v="169"/>
    <x v="1"/>
    <n v="10"/>
    <x v="0"/>
    <x v="1"/>
    <s v="-"/>
    <s v="Yes"/>
    <n v="20"/>
    <n v="10"/>
    <n v="20"/>
  </r>
  <r>
    <x v="171"/>
    <s v="Igor Santos"/>
    <x v="1"/>
    <x v="170"/>
    <x v="0"/>
    <n v="5"/>
    <x v="2"/>
    <x v="1"/>
    <s v="-"/>
    <s v="No"/>
    <n v="0"/>
    <n v="0"/>
    <n v="5"/>
  </r>
  <r>
    <x v="172"/>
    <s v="João Carvalho"/>
    <x v="0"/>
    <x v="171"/>
    <x v="1"/>
    <n v="15"/>
    <x v="0"/>
    <x v="0"/>
    <n v="30"/>
    <s v="Yes"/>
    <n v="20"/>
    <n v="3"/>
    <n v="62"/>
  </r>
  <r>
    <x v="173"/>
    <s v="Klara Fagundes"/>
    <x v="2"/>
    <x v="172"/>
    <x v="0"/>
    <n v="10"/>
    <x v="1"/>
    <x v="1"/>
    <s v="-"/>
    <s v="Yes"/>
    <n v="20"/>
    <n v="15"/>
    <n v="15"/>
  </r>
  <r>
    <x v="174"/>
    <s v="Lúcia Mendonça"/>
    <x v="1"/>
    <x v="173"/>
    <x v="1"/>
    <n v="5"/>
    <x v="0"/>
    <x v="1"/>
    <s v="-"/>
    <s v="No"/>
    <n v="0"/>
    <n v="1"/>
    <n v="4"/>
  </r>
  <r>
    <x v="175"/>
    <s v="Marcelo Novaes"/>
    <x v="1"/>
    <x v="174"/>
    <x v="0"/>
    <n v="5"/>
    <x v="0"/>
    <x v="1"/>
    <s v="-"/>
    <s v="No"/>
    <n v="0"/>
    <n v="0"/>
    <n v="5"/>
  </r>
  <r>
    <x v="176"/>
    <s v="Nina Pacheco"/>
    <x v="0"/>
    <x v="175"/>
    <x v="1"/>
    <n v="15"/>
    <x v="2"/>
    <x v="0"/>
    <n v="30"/>
    <s v="Yes"/>
    <n v="20"/>
    <n v="7"/>
    <n v="58"/>
  </r>
  <r>
    <x v="177"/>
    <s v="Olívia Rios"/>
    <x v="2"/>
    <x v="176"/>
    <x v="0"/>
    <n v="10"/>
    <x v="1"/>
    <x v="1"/>
    <s v="-"/>
    <s v="Yes"/>
    <n v="20"/>
    <n v="10"/>
    <n v="20"/>
  </r>
  <r>
    <x v="178"/>
    <s v="Paulo Quintana"/>
    <x v="1"/>
    <x v="177"/>
    <x v="1"/>
    <n v="5"/>
    <x v="2"/>
    <x v="1"/>
    <s v="-"/>
    <s v="No"/>
    <n v="0"/>
    <n v="1"/>
    <n v="4"/>
  </r>
  <r>
    <x v="179"/>
    <s v="Raquel Domingos"/>
    <x v="0"/>
    <x v="178"/>
    <x v="0"/>
    <n v="15"/>
    <x v="0"/>
    <x v="0"/>
    <n v="30"/>
    <s v="Yes"/>
    <n v="20"/>
    <n v="15"/>
    <n v="50"/>
  </r>
  <r>
    <x v="180"/>
    <s v="Samuel Viana"/>
    <x v="2"/>
    <x v="179"/>
    <x v="1"/>
    <n v="10"/>
    <x v="0"/>
    <x v="1"/>
    <s v="-"/>
    <s v="Yes"/>
    <n v="20"/>
    <n v="5"/>
    <n v="25"/>
  </r>
  <r>
    <x v="181"/>
    <s v="Tatiane Rocha"/>
    <x v="1"/>
    <x v="180"/>
    <x v="0"/>
    <n v="5"/>
    <x v="1"/>
    <x v="1"/>
    <s v="-"/>
    <s v="No"/>
    <n v="0"/>
    <n v="0"/>
    <n v="5"/>
  </r>
  <r>
    <x v="182"/>
    <s v="Ulysses Farias"/>
    <x v="0"/>
    <x v="181"/>
    <x v="1"/>
    <n v="15"/>
    <x v="2"/>
    <x v="0"/>
    <n v="30"/>
    <s v="Yes"/>
    <n v="20"/>
    <n v="20"/>
    <n v="45"/>
  </r>
  <r>
    <x v="183"/>
    <s v="Vanessa Moreira"/>
    <x v="2"/>
    <x v="182"/>
    <x v="0"/>
    <n v="10"/>
    <x v="2"/>
    <x v="1"/>
    <s v="-"/>
    <s v="Yes"/>
    <n v="20"/>
    <n v="12"/>
    <n v="18"/>
  </r>
  <r>
    <x v="184"/>
    <s v="William Carvalho"/>
    <x v="1"/>
    <x v="183"/>
    <x v="1"/>
    <n v="5"/>
    <x v="0"/>
    <x v="1"/>
    <s v="-"/>
    <s v="No"/>
    <n v="0"/>
    <n v="2"/>
    <n v="3"/>
  </r>
  <r>
    <x v="185"/>
    <s v="Ximena Barros"/>
    <x v="0"/>
    <x v="184"/>
    <x v="0"/>
    <n v="15"/>
    <x v="1"/>
    <x v="0"/>
    <n v="30"/>
    <s v="Yes"/>
    <n v="20"/>
    <n v="5"/>
    <n v="60"/>
  </r>
  <r>
    <x v="186"/>
    <s v="Yara Machado"/>
    <x v="2"/>
    <x v="185"/>
    <x v="1"/>
    <n v="10"/>
    <x v="0"/>
    <x v="1"/>
    <s v="-"/>
    <s v="Yes"/>
    <n v="20"/>
    <n v="10"/>
    <n v="20"/>
  </r>
  <r>
    <x v="187"/>
    <s v="Zacarias Costa"/>
    <x v="1"/>
    <x v="186"/>
    <x v="0"/>
    <n v="5"/>
    <x v="2"/>
    <x v="1"/>
    <s v="-"/>
    <s v="No"/>
    <n v="0"/>
    <n v="0"/>
    <n v="5"/>
  </r>
  <r>
    <x v="188"/>
    <s v="André Lopes"/>
    <x v="0"/>
    <x v="187"/>
    <x v="1"/>
    <n v="15"/>
    <x v="0"/>
    <x v="0"/>
    <n v="30"/>
    <s v="Yes"/>
    <n v="20"/>
    <n v="3"/>
    <n v="62"/>
  </r>
  <r>
    <x v="189"/>
    <s v="Beatriz Souza"/>
    <x v="2"/>
    <x v="188"/>
    <x v="0"/>
    <n v="10"/>
    <x v="1"/>
    <x v="1"/>
    <s v="-"/>
    <s v="Yes"/>
    <n v="20"/>
    <n v="15"/>
    <n v="15"/>
  </r>
  <r>
    <x v="190"/>
    <s v="Caio Pereira"/>
    <x v="1"/>
    <x v="189"/>
    <x v="1"/>
    <n v="5"/>
    <x v="0"/>
    <x v="1"/>
    <s v="-"/>
    <s v="No"/>
    <n v="0"/>
    <n v="1"/>
    <n v="4"/>
  </r>
  <r>
    <x v="191"/>
    <s v="Daniela Araújo"/>
    <x v="0"/>
    <x v="190"/>
    <x v="0"/>
    <n v="15"/>
    <x v="2"/>
    <x v="0"/>
    <n v="30"/>
    <s v="Yes"/>
    <n v="20"/>
    <n v="7"/>
    <n v="58"/>
  </r>
  <r>
    <x v="192"/>
    <s v="Eduardo Santos"/>
    <x v="2"/>
    <x v="191"/>
    <x v="1"/>
    <n v="10"/>
    <x v="0"/>
    <x v="1"/>
    <s v="-"/>
    <s v="Yes"/>
    <n v="20"/>
    <n v="10"/>
    <n v="20"/>
  </r>
  <r>
    <x v="193"/>
    <s v="Fernanda Lima"/>
    <x v="1"/>
    <x v="192"/>
    <x v="0"/>
    <n v="5"/>
    <x v="1"/>
    <x v="1"/>
    <s v="-"/>
    <s v="No"/>
    <n v="0"/>
    <n v="0"/>
    <n v="5"/>
  </r>
  <r>
    <x v="194"/>
    <s v="Gabriel Teixeira"/>
    <x v="0"/>
    <x v="193"/>
    <x v="1"/>
    <n v="15"/>
    <x v="0"/>
    <x v="0"/>
    <n v="30"/>
    <s v="Yes"/>
    <n v="20"/>
    <n v="20"/>
    <n v="45"/>
  </r>
  <r>
    <x v="195"/>
    <s v="Helena Ribeiro"/>
    <x v="2"/>
    <x v="194"/>
    <x v="0"/>
    <n v="10"/>
    <x v="2"/>
    <x v="1"/>
    <s v="-"/>
    <s v="Yes"/>
    <n v="20"/>
    <n v="15"/>
    <n v="15"/>
  </r>
  <r>
    <x v="196"/>
    <s v="Igor Mendes"/>
    <x v="1"/>
    <x v="195"/>
    <x v="1"/>
    <n v="5"/>
    <x v="0"/>
    <x v="1"/>
    <s v="-"/>
    <s v="No"/>
    <n v="0"/>
    <n v="1"/>
    <n v="4"/>
  </r>
  <r>
    <x v="197"/>
    <s v="Joana Silveira"/>
    <x v="0"/>
    <x v="196"/>
    <x v="0"/>
    <n v="15"/>
    <x v="1"/>
    <x v="0"/>
    <n v="30"/>
    <s v="Yes"/>
    <n v="20"/>
    <n v="3"/>
    <n v="62"/>
  </r>
  <r>
    <x v="198"/>
    <s v="Lucas Martins"/>
    <x v="2"/>
    <x v="197"/>
    <x v="1"/>
    <n v="10"/>
    <x v="0"/>
    <x v="1"/>
    <s v="-"/>
    <s v="Yes"/>
    <n v="20"/>
    <n v="10"/>
    <n v="20"/>
  </r>
  <r>
    <x v="199"/>
    <s v="Marcela Gouveia"/>
    <x v="1"/>
    <x v="198"/>
    <x v="0"/>
    <n v="5"/>
    <x v="2"/>
    <x v="1"/>
    <s v="-"/>
    <s v="No"/>
    <n v="0"/>
    <n v="0"/>
    <n v="5"/>
  </r>
  <r>
    <x v="200"/>
    <s v="Nicolas Borges"/>
    <x v="0"/>
    <x v="199"/>
    <x v="1"/>
    <n v="15"/>
    <x v="0"/>
    <x v="0"/>
    <n v="30"/>
    <s v="Yes"/>
    <n v="20"/>
    <n v="15"/>
    <n v="50"/>
  </r>
  <r>
    <x v="201"/>
    <s v="Olivia Freitas"/>
    <x v="2"/>
    <x v="200"/>
    <x v="0"/>
    <n v="10"/>
    <x v="1"/>
    <x v="1"/>
    <s v="-"/>
    <s v="Yes"/>
    <n v="20"/>
    <n v="15"/>
    <n v="15"/>
  </r>
  <r>
    <x v="202"/>
    <s v="Paulo Nogueira"/>
    <x v="1"/>
    <x v="201"/>
    <x v="1"/>
    <n v="5"/>
    <x v="0"/>
    <x v="1"/>
    <s v="-"/>
    <s v="No"/>
    <n v="0"/>
    <n v="1"/>
    <n v="4"/>
  </r>
  <r>
    <x v="203"/>
    <s v="Raquel Andrade"/>
    <x v="0"/>
    <x v="202"/>
    <x v="0"/>
    <n v="15"/>
    <x v="2"/>
    <x v="0"/>
    <n v="30"/>
    <s v="Yes"/>
    <n v="20"/>
    <n v="7"/>
    <n v="58"/>
  </r>
  <r>
    <x v="204"/>
    <s v="Sônia Carvalho"/>
    <x v="2"/>
    <x v="203"/>
    <x v="1"/>
    <n v="10"/>
    <x v="0"/>
    <x v="1"/>
    <s v="-"/>
    <s v="Yes"/>
    <n v="20"/>
    <n v="10"/>
    <n v="20"/>
  </r>
  <r>
    <x v="205"/>
    <s v="Tiago Rodrigues"/>
    <x v="1"/>
    <x v="204"/>
    <x v="0"/>
    <n v="5"/>
    <x v="0"/>
    <x v="1"/>
    <s v="-"/>
    <s v="No"/>
    <n v="0"/>
    <n v="0"/>
    <n v="5"/>
  </r>
  <r>
    <x v="206"/>
    <s v="Ursula Monteiro"/>
    <x v="0"/>
    <x v="205"/>
    <x v="1"/>
    <n v="15"/>
    <x v="2"/>
    <x v="0"/>
    <n v="30"/>
    <s v="Yes"/>
    <n v="20"/>
    <n v="7"/>
    <n v="58"/>
  </r>
  <r>
    <x v="207"/>
    <s v="Vanessa Pereira"/>
    <x v="2"/>
    <x v="206"/>
    <x v="0"/>
    <n v="10"/>
    <x v="1"/>
    <x v="1"/>
    <s v="-"/>
    <s v="Yes"/>
    <n v="20"/>
    <n v="10"/>
    <n v="20"/>
  </r>
  <r>
    <x v="208"/>
    <s v="Walter Silva"/>
    <x v="1"/>
    <x v="207"/>
    <x v="1"/>
    <n v="5"/>
    <x v="2"/>
    <x v="1"/>
    <s v="-"/>
    <s v="No"/>
    <n v="0"/>
    <n v="1"/>
    <n v="4"/>
  </r>
  <r>
    <x v="209"/>
    <s v="Xavier Almeida"/>
    <x v="0"/>
    <x v="208"/>
    <x v="0"/>
    <n v="15"/>
    <x v="0"/>
    <x v="0"/>
    <n v="30"/>
    <s v="Yes"/>
    <n v="20"/>
    <n v="15"/>
    <n v="50"/>
  </r>
  <r>
    <x v="210"/>
    <s v="Yasmine Correia"/>
    <x v="2"/>
    <x v="209"/>
    <x v="1"/>
    <n v="10"/>
    <x v="0"/>
    <x v="1"/>
    <s v="-"/>
    <s v="Yes"/>
    <n v="20"/>
    <n v="5"/>
    <n v="25"/>
  </r>
  <r>
    <x v="211"/>
    <s v="Zacarias Almeida"/>
    <x v="1"/>
    <x v="210"/>
    <x v="0"/>
    <n v="5"/>
    <x v="1"/>
    <x v="1"/>
    <s v="-"/>
    <s v="No"/>
    <n v="0"/>
    <n v="0"/>
    <n v="5"/>
  </r>
  <r>
    <x v="212"/>
    <s v="Amanda Costa"/>
    <x v="0"/>
    <x v="211"/>
    <x v="1"/>
    <n v="15"/>
    <x v="2"/>
    <x v="0"/>
    <n v="30"/>
    <s v="Yes"/>
    <n v="20"/>
    <n v="20"/>
    <n v="45"/>
  </r>
  <r>
    <x v="213"/>
    <s v="Bruno Ferreira"/>
    <x v="2"/>
    <x v="212"/>
    <x v="0"/>
    <n v="10"/>
    <x v="2"/>
    <x v="1"/>
    <s v="-"/>
    <s v="Yes"/>
    <n v="20"/>
    <n v="12"/>
    <n v="18"/>
  </r>
  <r>
    <x v="214"/>
    <s v="Carla Dias"/>
    <x v="1"/>
    <x v="213"/>
    <x v="1"/>
    <n v="5"/>
    <x v="0"/>
    <x v="1"/>
    <s v="-"/>
    <s v="No"/>
    <n v="0"/>
    <n v="2"/>
    <n v="3"/>
  </r>
  <r>
    <x v="215"/>
    <s v="Diogo Martins"/>
    <x v="0"/>
    <x v="214"/>
    <x v="0"/>
    <n v="15"/>
    <x v="1"/>
    <x v="0"/>
    <n v="30"/>
    <s v="Yes"/>
    <n v="20"/>
    <n v="5"/>
    <n v="60"/>
  </r>
  <r>
    <x v="216"/>
    <s v="Elisa Campos"/>
    <x v="2"/>
    <x v="215"/>
    <x v="1"/>
    <n v="10"/>
    <x v="0"/>
    <x v="1"/>
    <s v="-"/>
    <s v="Yes"/>
    <n v="20"/>
    <n v="10"/>
    <n v="20"/>
  </r>
  <r>
    <x v="217"/>
    <s v="Fabiana Lima"/>
    <x v="1"/>
    <x v="216"/>
    <x v="0"/>
    <n v="5"/>
    <x v="2"/>
    <x v="1"/>
    <s v="-"/>
    <s v="No"/>
    <n v="0"/>
    <n v="0"/>
    <n v="5"/>
  </r>
  <r>
    <x v="218"/>
    <s v="Gabriel Santos"/>
    <x v="0"/>
    <x v="217"/>
    <x v="1"/>
    <n v="15"/>
    <x v="0"/>
    <x v="0"/>
    <n v="30"/>
    <s v="Yes"/>
    <n v="20"/>
    <n v="3"/>
    <n v="62"/>
  </r>
  <r>
    <x v="219"/>
    <s v="Helena Ferreira"/>
    <x v="2"/>
    <x v="218"/>
    <x v="0"/>
    <n v="10"/>
    <x v="1"/>
    <x v="1"/>
    <s v="-"/>
    <s v="Yes"/>
    <n v="20"/>
    <n v="15"/>
    <n v="15"/>
  </r>
  <r>
    <x v="220"/>
    <s v="Ígor Nunes"/>
    <x v="1"/>
    <x v="219"/>
    <x v="1"/>
    <n v="5"/>
    <x v="0"/>
    <x v="1"/>
    <s v="-"/>
    <s v="No"/>
    <n v="0"/>
    <n v="1"/>
    <n v="4"/>
  </r>
  <r>
    <x v="221"/>
    <s v="Joana Silveira"/>
    <x v="0"/>
    <x v="220"/>
    <x v="0"/>
    <n v="15"/>
    <x v="2"/>
    <x v="0"/>
    <n v="30"/>
    <s v="Yes"/>
    <n v="20"/>
    <n v="7"/>
    <n v="58"/>
  </r>
  <r>
    <x v="222"/>
    <s v="Kléber Oliveira"/>
    <x v="2"/>
    <x v="221"/>
    <x v="1"/>
    <n v="10"/>
    <x v="0"/>
    <x v="1"/>
    <s v="-"/>
    <s v="Yes"/>
    <n v="20"/>
    <n v="10"/>
    <n v="20"/>
  </r>
  <r>
    <x v="223"/>
    <s v="Luciana Morais"/>
    <x v="1"/>
    <x v="222"/>
    <x v="0"/>
    <n v="5"/>
    <x v="1"/>
    <x v="1"/>
    <s v="-"/>
    <s v="No"/>
    <n v="0"/>
    <n v="0"/>
    <n v="5"/>
  </r>
  <r>
    <x v="224"/>
    <s v="Marcos Vinícius"/>
    <x v="0"/>
    <x v="223"/>
    <x v="1"/>
    <n v="15"/>
    <x v="0"/>
    <x v="0"/>
    <n v="30"/>
    <s v="Yes"/>
    <n v="20"/>
    <n v="20"/>
    <n v="45"/>
  </r>
  <r>
    <x v="225"/>
    <s v="Natália Barros"/>
    <x v="2"/>
    <x v="224"/>
    <x v="0"/>
    <n v="10"/>
    <x v="2"/>
    <x v="1"/>
    <s v="-"/>
    <s v="Yes"/>
    <n v="20"/>
    <n v="15"/>
    <n v="15"/>
  </r>
  <r>
    <x v="226"/>
    <s v="Oscar Sampaio"/>
    <x v="1"/>
    <x v="225"/>
    <x v="1"/>
    <n v="5"/>
    <x v="0"/>
    <x v="1"/>
    <s v="-"/>
    <s v="No"/>
    <n v="0"/>
    <n v="1"/>
    <n v="4"/>
  </r>
  <r>
    <x v="227"/>
    <s v="Patrícia Leite"/>
    <x v="0"/>
    <x v="226"/>
    <x v="0"/>
    <n v="15"/>
    <x v="1"/>
    <x v="0"/>
    <n v="30"/>
    <s v="Yes"/>
    <n v="20"/>
    <n v="3"/>
    <n v="62"/>
  </r>
  <r>
    <x v="228"/>
    <s v="Quênia Rocha"/>
    <x v="2"/>
    <x v="227"/>
    <x v="1"/>
    <n v="10"/>
    <x v="0"/>
    <x v="1"/>
    <s v="-"/>
    <s v="Yes"/>
    <n v="20"/>
    <n v="10"/>
    <n v="20"/>
  </r>
  <r>
    <x v="229"/>
    <s v="Rafael Torres"/>
    <x v="1"/>
    <x v="228"/>
    <x v="0"/>
    <n v="5"/>
    <x v="2"/>
    <x v="1"/>
    <s v="-"/>
    <s v="No"/>
    <n v="0"/>
    <n v="0"/>
    <n v="5"/>
  </r>
  <r>
    <x v="230"/>
    <s v="Sandra Gouveia"/>
    <x v="0"/>
    <x v="229"/>
    <x v="1"/>
    <n v="15"/>
    <x v="0"/>
    <x v="0"/>
    <n v="30"/>
    <s v="Yes"/>
    <n v="20"/>
    <n v="15"/>
    <n v="50"/>
  </r>
  <r>
    <x v="231"/>
    <s v="Tiago Lacerda"/>
    <x v="2"/>
    <x v="230"/>
    <x v="0"/>
    <n v="10"/>
    <x v="1"/>
    <x v="1"/>
    <s v="-"/>
    <s v="Yes"/>
    <n v="20"/>
    <n v="15"/>
    <n v="15"/>
  </r>
  <r>
    <x v="232"/>
    <s v="Ursula Fonseca"/>
    <x v="1"/>
    <x v="231"/>
    <x v="1"/>
    <n v="5"/>
    <x v="0"/>
    <x v="1"/>
    <s v="-"/>
    <s v="No"/>
    <n v="0"/>
    <n v="1"/>
    <n v="4"/>
  </r>
  <r>
    <x v="233"/>
    <s v="Vanessa Andrade"/>
    <x v="0"/>
    <x v="232"/>
    <x v="0"/>
    <n v="15"/>
    <x v="2"/>
    <x v="0"/>
    <n v="30"/>
    <s v="Yes"/>
    <n v="20"/>
    <n v="7"/>
    <n v="58"/>
  </r>
  <r>
    <x v="234"/>
    <s v="William Castro"/>
    <x v="2"/>
    <x v="233"/>
    <x v="1"/>
    <n v="10"/>
    <x v="0"/>
    <x v="1"/>
    <s v="-"/>
    <s v="Yes"/>
    <n v="20"/>
    <n v="10"/>
    <n v="20"/>
  </r>
  <r>
    <x v="235"/>
    <s v="Xavier Monteiro"/>
    <x v="1"/>
    <x v="234"/>
    <x v="0"/>
    <n v="5"/>
    <x v="1"/>
    <x v="1"/>
    <s v="-"/>
    <s v="No"/>
    <n v="0"/>
    <n v="0"/>
    <n v="5"/>
  </r>
  <r>
    <x v="236"/>
    <s v="Yasmin Figueira"/>
    <x v="0"/>
    <x v="235"/>
    <x v="1"/>
    <n v="15"/>
    <x v="0"/>
    <x v="0"/>
    <n v="30"/>
    <s v="Yes"/>
    <n v="20"/>
    <n v="15"/>
    <n v="50"/>
  </r>
  <r>
    <x v="237"/>
    <s v="Zacarias Mendonça"/>
    <x v="2"/>
    <x v="236"/>
    <x v="0"/>
    <n v="10"/>
    <x v="2"/>
    <x v="1"/>
    <s v="-"/>
    <s v="Yes"/>
    <n v="20"/>
    <n v="12"/>
    <n v="18"/>
  </r>
  <r>
    <x v="238"/>
    <s v="Amanda Menezes"/>
    <x v="1"/>
    <x v="237"/>
    <x v="1"/>
    <n v="5"/>
    <x v="0"/>
    <x v="1"/>
    <s v="-"/>
    <s v="No"/>
    <n v="0"/>
    <n v="2"/>
    <n v="3"/>
  </r>
  <r>
    <x v="239"/>
    <s v="Bruno Santos"/>
    <x v="0"/>
    <x v="238"/>
    <x v="0"/>
    <n v="15"/>
    <x v="1"/>
    <x v="0"/>
    <n v="30"/>
    <s v="Yes"/>
    <n v="20"/>
    <n v="5"/>
    <n v="60"/>
  </r>
  <r>
    <x v="240"/>
    <s v="Carla Ferreira"/>
    <x v="2"/>
    <x v="239"/>
    <x v="1"/>
    <n v="10"/>
    <x v="0"/>
    <x v="1"/>
    <s v="-"/>
    <s v="Yes"/>
    <n v="20"/>
    <n v="10"/>
    <n v="20"/>
  </r>
  <r>
    <x v="241"/>
    <s v="Diogo Alves"/>
    <x v="1"/>
    <x v="240"/>
    <x v="0"/>
    <n v="5"/>
    <x v="2"/>
    <x v="1"/>
    <s v="-"/>
    <s v="No"/>
    <n v="0"/>
    <n v="0"/>
    <n v="5"/>
  </r>
  <r>
    <x v="242"/>
    <s v="Elisa Neves"/>
    <x v="0"/>
    <x v="241"/>
    <x v="1"/>
    <n v="15"/>
    <x v="0"/>
    <x v="0"/>
    <n v="30"/>
    <s v="Yes"/>
    <n v="20"/>
    <n v="3"/>
    <n v="62"/>
  </r>
  <r>
    <x v="243"/>
    <s v="Fabiano Pires"/>
    <x v="2"/>
    <x v="242"/>
    <x v="0"/>
    <n v="10"/>
    <x v="1"/>
    <x v="1"/>
    <s v="-"/>
    <s v="Yes"/>
    <n v="20"/>
    <n v="15"/>
    <n v="15"/>
  </r>
  <r>
    <x v="244"/>
    <s v="Giovana Ribeiro"/>
    <x v="1"/>
    <x v="243"/>
    <x v="1"/>
    <n v="5"/>
    <x v="0"/>
    <x v="1"/>
    <s v="-"/>
    <s v="No"/>
    <n v="0"/>
    <n v="1"/>
    <n v="4"/>
  </r>
  <r>
    <x v="245"/>
    <s v="Hélio Costa"/>
    <x v="0"/>
    <x v="244"/>
    <x v="0"/>
    <n v="15"/>
    <x v="2"/>
    <x v="0"/>
    <n v="30"/>
    <s v="Yes"/>
    <n v="20"/>
    <n v="7"/>
    <n v="58"/>
  </r>
  <r>
    <x v="246"/>
    <s v="Íris Loureiro"/>
    <x v="2"/>
    <x v="245"/>
    <x v="1"/>
    <n v="10"/>
    <x v="0"/>
    <x v="1"/>
    <s v="-"/>
    <s v="Yes"/>
    <n v="20"/>
    <n v="10"/>
    <n v="20"/>
  </r>
  <r>
    <x v="247"/>
    <s v="João Pereira"/>
    <x v="1"/>
    <x v="246"/>
    <x v="0"/>
    <n v="5"/>
    <x v="1"/>
    <x v="1"/>
    <s v="-"/>
    <s v="No"/>
    <n v="0"/>
    <n v="0"/>
    <n v="5"/>
  </r>
  <r>
    <x v="248"/>
    <s v="Klara Silva"/>
    <x v="0"/>
    <x v="247"/>
    <x v="1"/>
    <n v="15"/>
    <x v="0"/>
    <x v="0"/>
    <n v="30"/>
    <s v="Yes"/>
    <n v="20"/>
    <n v="20"/>
    <n v="45"/>
  </r>
  <r>
    <x v="249"/>
    <s v="Luciana Barros"/>
    <x v="2"/>
    <x v="248"/>
    <x v="0"/>
    <n v="10"/>
    <x v="2"/>
    <x v="1"/>
    <s v="-"/>
    <s v="Yes"/>
    <n v="20"/>
    <n v="15"/>
    <n v="15"/>
  </r>
  <r>
    <x v="250"/>
    <s v="Marcos Gomes"/>
    <x v="1"/>
    <x v="249"/>
    <x v="1"/>
    <n v="5"/>
    <x v="0"/>
    <x v="1"/>
    <s v="-"/>
    <s v="No"/>
    <n v="0"/>
    <n v="1"/>
    <n v="4"/>
  </r>
  <r>
    <x v="251"/>
    <s v="Natália Soares"/>
    <x v="0"/>
    <x v="250"/>
    <x v="0"/>
    <n v="15"/>
    <x v="1"/>
    <x v="0"/>
    <n v="30"/>
    <s v="Yes"/>
    <n v="20"/>
    <n v="3"/>
    <n v="62"/>
  </r>
  <r>
    <x v="252"/>
    <s v="Oscar Machado"/>
    <x v="2"/>
    <x v="251"/>
    <x v="1"/>
    <n v="10"/>
    <x v="0"/>
    <x v="1"/>
    <s v="-"/>
    <s v="Yes"/>
    <n v="20"/>
    <n v="10"/>
    <n v="20"/>
  </r>
  <r>
    <x v="253"/>
    <s v="Patrícia Lima"/>
    <x v="1"/>
    <x v="252"/>
    <x v="0"/>
    <n v="5"/>
    <x v="2"/>
    <x v="1"/>
    <s v="-"/>
    <s v="No"/>
    <n v="0"/>
    <n v="0"/>
    <n v="5"/>
  </r>
  <r>
    <x v="254"/>
    <s v="Quirino Neto"/>
    <x v="0"/>
    <x v="253"/>
    <x v="1"/>
    <n v="15"/>
    <x v="0"/>
    <x v="0"/>
    <n v="30"/>
    <s v="Yes"/>
    <n v="20"/>
    <n v="15"/>
    <n v="50"/>
  </r>
  <r>
    <x v="255"/>
    <s v="Rafaela Souza"/>
    <x v="1"/>
    <x v="254"/>
    <x v="0"/>
    <n v="5"/>
    <x v="0"/>
    <x v="1"/>
    <s v="-"/>
    <s v="No"/>
    <n v="0"/>
    <n v="0"/>
    <n v="5"/>
  </r>
  <r>
    <x v="256"/>
    <s v="Sandro Almeida"/>
    <x v="0"/>
    <x v="255"/>
    <x v="1"/>
    <n v="15"/>
    <x v="2"/>
    <x v="0"/>
    <n v="30"/>
    <s v="Yes"/>
    <n v="20"/>
    <n v="7"/>
    <n v="58"/>
  </r>
  <r>
    <x v="257"/>
    <s v="Tânia Ribeiro"/>
    <x v="2"/>
    <x v="256"/>
    <x v="0"/>
    <n v="10"/>
    <x v="1"/>
    <x v="1"/>
    <s v="-"/>
    <s v="Yes"/>
    <n v="20"/>
    <n v="10"/>
    <n v="20"/>
  </r>
  <r>
    <x v="258"/>
    <s v="Ugo Dias"/>
    <x v="1"/>
    <x v="257"/>
    <x v="1"/>
    <n v="5"/>
    <x v="2"/>
    <x v="1"/>
    <s v="-"/>
    <s v="No"/>
    <n v="0"/>
    <n v="1"/>
    <n v="4"/>
  </r>
  <r>
    <x v="259"/>
    <s v="Valéria Lima"/>
    <x v="0"/>
    <x v="258"/>
    <x v="0"/>
    <n v="15"/>
    <x v="0"/>
    <x v="0"/>
    <n v="30"/>
    <s v="Yes"/>
    <n v="20"/>
    <n v="15"/>
    <n v="50"/>
  </r>
  <r>
    <x v="260"/>
    <s v="William Fernandes"/>
    <x v="2"/>
    <x v="259"/>
    <x v="1"/>
    <n v="10"/>
    <x v="0"/>
    <x v="1"/>
    <s v="-"/>
    <s v="Yes"/>
    <n v="20"/>
    <n v="5"/>
    <n v="25"/>
  </r>
  <r>
    <x v="261"/>
    <s v="Xuxa Mendes"/>
    <x v="1"/>
    <x v="260"/>
    <x v="0"/>
    <n v="5"/>
    <x v="1"/>
    <x v="1"/>
    <s v="-"/>
    <s v="No"/>
    <n v="0"/>
    <n v="0"/>
    <n v="5"/>
  </r>
  <r>
    <x v="262"/>
    <s v="Ygor Farias"/>
    <x v="0"/>
    <x v="261"/>
    <x v="1"/>
    <n v="15"/>
    <x v="2"/>
    <x v="0"/>
    <n v="30"/>
    <s v="Yes"/>
    <n v="20"/>
    <n v="20"/>
    <n v="45"/>
  </r>
  <r>
    <x v="263"/>
    <s v="Zilda Barros"/>
    <x v="2"/>
    <x v="262"/>
    <x v="0"/>
    <n v="10"/>
    <x v="2"/>
    <x v="1"/>
    <s v="-"/>
    <s v="Yes"/>
    <n v="20"/>
    <n v="12"/>
    <n v="18"/>
  </r>
  <r>
    <x v="264"/>
    <s v="Amanda Santos"/>
    <x v="1"/>
    <x v="263"/>
    <x v="1"/>
    <n v="5"/>
    <x v="0"/>
    <x v="1"/>
    <s v="-"/>
    <s v="No"/>
    <n v="0"/>
    <n v="2"/>
    <n v="3"/>
  </r>
  <r>
    <x v="265"/>
    <s v="Bruno Costa"/>
    <x v="0"/>
    <x v="264"/>
    <x v="0"/>
    <n v="15"/>
    <x v="1"/>
    <x v="0"/>
    <n v="30"/>
    <s v="Yes"/>
    <n v="20"/>
    <n v="5"/>
    <n v="60"/>
  </r>
  <r>
    <x v="266"/>
    <s v="Carla Rodrigues"/>
    <x v="2"/>
    <x v="265"/>
    <x v="1"/>
    <n v="10"/>
    <x v="0"/>
    <x v="1"/>
    <s v="-"/>
    <s v="Yes"/>
    <n v="20"/>
    <n v="10"/>
    <n v="20"/>
  </r>
  <r>
    <x v="267"/>
    <s v="Diogo Pereira"/>
    <x v="1"/>
    <x v="266"/>
    <x v="0"/>
    <n v="5"/>
    <x v="2"/>
    <x v="1"/>
    <s v="-"/>
    <s v="No"/>
    <n v="0"/>
    <n v="0"/>
    <n v="5"/>
  </r>
  <r>
    <x v="268"/>
    <s v="Elisa Correia"/>
    <x v="0"/>
    <x v="267"/>
    <x v="1"/>
    <n v="15"/>
    <x v="0"/>
    <x v="0"/>
    <n v="30"/>
    <s v="Yes"/>
    <n v="20"/>
    <n v="3"/>
    <n v="62"/>
  </r>
  <r>
    <x v="269"/>
    <s v="Fábio Lourenço"/>
    <x v="2"/>
    <x v="268"/>
    <x v="0"/>
    <n v="10"/>
    <x v="1"/>
    <x v="1"/>
    <s v="-"/>
    <s v="Yes"/>
    <n v="20"/>
    <n v="15"/>
    <n v="15"/>
  </r>
  <r>
    <x v="270"/>
    <s v="Gabriela Neves"/>
    <x v="1"/>
    <x v="269"/>
    <x v="1"/>
    <n v="5"/>
    <x v="0"/>
    <x v="1"/>
    <s v="-"/>
    <s v="No"/>
    <n v="0"/>
    <n v="1"/>
    <n v="4"/>
  </r>
  <r>
    <x v="271"/>
    <s v="Henrique Gonçalves"/>
    <x v="0"/>
    <x v="270"/>
    <x v="0"/>
    <n v="15"/>
    <x v="2"/>
    <x v="0"/>
    <n v="30"/>
    <s v="Yes"/>
    <n v="20"/>
    <n v="7"/>
    <n v="58"/>
  </r>
  <r>
    <x v="272"/>
    <s v="Íris Santos"/>
    <x v="2"/>
    <x v="271"/>
    <x v="1"/>
    <n v="10"/>
    <x v="0"/>
    <x v="1"/>
    <s v="-"/>
    <s v="Yes"/>
    <n v="20"/>
    <n v="10"/>
    <n v="20"/>
  </r>
  <r>
    <x v="273"/>
    <s v="João Marcelo Alves"/>
    <x v="1"/>
    <x v="272"/>
    <x v="0"/>
    <n v="5"/>
    <x v="1"/>
    <x v="1"/>
    <s v="-"/>
    <s v="No"/>
    <n v="0"/>
    <n v="0"/>
    <n v="5"/>
  </r>
  <r>
    <x v="274"/>
    <s v="Klara Fonseca"/>
    <x v="0"/>
    <x v="273"/>
    <x v="1"/>
    <n v="15"/>
    <x v="0"/>
    <x v="0"/>
    <n v="30"/>
    <s v="Yes"/>
    <n v="20"/>
    <n v="20"/>
    <n v="45"/>
  </r>
  <r>
    <x v="275"/>
    <s v="Lucas Mendonça"/>
    <x v="2"/>
    <x v="274"/>
    <x v="0"/>
    <n v="10"/>
    <x v="2"/>
    <x v="1"/>
    <s v="-"/>
    <s v="Yes"/>
    <n v="20"/>
    <n v="15"/>
    <n v="15"/>
  </r>
  <r>
    <x v="276"/>
    <s v="Marcela Torres"/>
    <x v="1"/>
    <x v="275"/>
    <x v="1"/>
    <n v="5"/>
    <x v="0"/>
    <x v="1"/>
    <s v="-"/>
    <s v="No"/>
    <n v="0"/>
    <n v="1"/>
    <n v="4"/>
  </r>
  <r>
    <x v="277"/>
    <s v="Natália Castro"/>
    <x v="0"/>
    <x v="276"/>
    <x v="0"/>
    <n v="15"/>
    <x v="1"/>
    <x v="0"/>
    <n v="30"/>
    <s v="Yes"/>
    <n v="20"/>
    <n v="3"/>
    <n v="62"/>
  </r>
  <r>
    <x v="278"/>
    <s v="Oscar Martins"/>
    <x v="2"/>
    <x v="277"/>
    <x v="1"/>
    <n v="10"/>
    <x v="0"/>
    <x v="1"/>
    <s v="-"/>
    <s v="Yes"/>
    <n v="20"/>
    <n v="10"/>
    <n v="20"/>
  </r>
  <r>
    <x v="279"/>
    <s v="Patrícia Oliveira"/>
    <x v="1"/>
    <x v="278"/>
    <x v="0"/>
    <n v="5"/>
    <x v="2"/>
    <x v="1"/>
    <s v="-"/>
    <s v="No"/>
    <n v="0"/>
    <n v="0"/>
    <n v="5"/>
  </r>
  <r>
    <x v="280"/>
    <s v="Quentin Nogueira"/>
    <x v="0"/>
    <x v="279"/>
    <x v="1"/>
    <n v="15"/>
    <x v="0"/>
    <x v="0"/>
    <n v="30"/>
    <s v="Yes"/>
    <n v="20"/>
    <n v="15"/>
    <n v="50"/>
  </r>
  <r>
    <x v="281"/>
    <s v="Raquel Silva"/>
    <x v="2"/>
    <x v="280"/>
    <x v="0"/>
    <n v="10"/>
    <x v="1"/>
    <x v="1"/>
    <s v="-"/>
    <s v="Yes"/>
    <n v="20"/>
    <n v="15"/>
    <n v="15"/>
  </r>
  <r>
    <x v="282"/>
    <s v="Sandro Gomes"/>
    <x v="1"/>
    <x v="281"/>
    <x v="1"/>
    <n v="5"/>
    <x v="0"/>
    <x v="1"/>
    <s v="-"/>
    <s v="No"/>
    <n v="0"/>
    <n v="1"/>
    <n v="4"/>
  </r>
  <r>
    <x v="283"/>
    <s v="Tânia Machado"/>
    <x v="0"/>
    <x v="282"/>
    <x v="0"/>
    <n v="15"/>
    <x v="2"/>
    <x v="0"/>
    <n v="30"/>
    <s v="Yes"/>
    <n v="20"/>
    <n v="7"/>
    <n v="58"/>
  </r>
  <r>
    <x v="284"/>
    <s v="Ursula Silva"/>
    <x v="2"/>
    <x v="283"/>
    <x v="1"/>
    <n v="10"/>
    <x v="0"/>
    <x v="1"/>
    <s v="-"/>
    <s v="Yes"/>
    <n v="20"/>
    <n v="10"/>
    <n v="20"/>
  </r>
  <r>
    <x v="285"/>
    <s v="Vanessa Moraes"/>
    <x v="1"/>
    <x v="284"/>
    <x v="0"/>
    <n v="5"/>
    <x v="1"/>
    <x v="1"/>
    <s v="-"/>
    <s v="No"/>
    <n v="0"/>
    <n v="0"/>
    <n v="5"/>
  </r>
  <r>
    <x v="286"/>
    <s v="William Carvalho"/>
    <x v="0"/>
    <x v="285"/>
    <x v="1"/>
    <n v="15"/>
    <x v="0"/>
    <x v="0"/>
    <n v="30"/>
    <s v="Yes"/>
    <n v="20"/>
    <n v="20"/>
    <n v="45"/>
  </r>
  <r>
    <x v="287"/>
    <s v="Xavier Reis"/>
    <x v="2"/>
    <x v="286"/>
    <x v="0"/>
    <n v="10"/>
    <x v="2"/>
    <x v="1"/>
    <s v="-"/>
    <s v="Yes"/>
    <n v="20"/>
    <n v="12"/>
    <n v="18"/>
  </r>
  <r>
    <x v="288"/>
    <s v="Yasmin Rocha"/>
    <x v="1"/>
    <x v="287"/>
    <x v="1"/>
    <n v="5"/>
    <x v="0"/>
    <x v="1"/>
    <s v="-"/>
    <s v="No"/>
    <n v="0"/>
    <n v="2"/>
    <n v="3"/>
  </r>
  <r>
    <x v="289"/>
    <s v="Zacarias Duarte"/>
    <x v="0"/>
    <x v="288"/>
    <x v="0"/>
    <n v="15"/>
    <x v="1"/>
    <x v="0"/>
    <n v="30"/>
    <s v="Yes"/>
    <n v="20"/>
    <n v="5"/>
    <n v="60"/>
  </r>
  <r>
    <x v="290"/>
    <s v="Amanda Freitas"/>
    <x v="2"/>
    <x v="289"/>
    <x v="1"/>
    <n v="10"/>
    <x v="0"/>
    <x v="1"/>
    <s v="-"/>
    <s v="Yes"/>
    <n v="20"/>
    <n v="10"/>
    <n v="20"/>
  </r>
  <r>
    <x v="291"/>
    <s v="Bruno Almeida"/>
    <x v="1"/>
    <x v="290"/>
    <x v="0"/>
    <n v="5"/>
    <x v="2"/>
    <x v="1"/>
    <s v="-"/>
    <s v="No"/>
    <n v="0"/>
    <n v="0"/>
    <n v="5"/>
  </r>
  <r>
    <x v="292"/>
    <s v="Carla Siqueira"/>
    <x v="0"/>
    <x v="291"/>
    <x v="1"/>
    <n v="15"/>
    <x v="0"/>
    <x v="0"/>
    <n v="30"/>
    <s v="Yes"/>
    <n v="20"/>
    <n v="3"/>
    <n v="62"/>
  </r>
  <r>
    <x v="293"/>
    <s v="Diogo Ramos"/>
    <x v="2"/>
    <x v="292"/>
    <x v="0"/>
    <n v="10"/>
    <x v="1"/>
    <x v="1"/>
    <s v="-"/>
    <s v="Yes"/>
    <n v="20"/>
    <n v="15"/>
    <n v="15"/>
  </r>
  <r>
    <x v="294"/>
    <s v="Elisa Magalhães"/>
    <x v="1"/>
    <x v="293"/>
    <x v="1"/>
    <n v="5"/>
    <x v="0"/>
    <x v="1"/>
    <s v="-"/>
    <s v="No"/>
    <n v="0"/>
    <n v="1"/>
    <n v="4"/>
  </r>
  <r>
    <x v="295"/>
    <m/>
    <x v="3"/>
    <x v="294"/>
    <x v="2"/>
    <m/>
    <x v="3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C6193-9E04-44B5-BD9B-15B075EFDEC7}" name="Tabela dinâmica8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H35:H36" firstHeaderRow="1" firstDataRow="1" firstDataCol="0"/>
  <pivotFields count="15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/>
    <pivotField showAll="0">
      <items count="5">
        <item x="1"/>
        <item x="2"/>
        <item x="0"/>
        <item h="1"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sd="0" x="1"/>
        <item sd="0"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oma de Coupon Value" fld="11" baseField="0" baseItem="0"/>
  </dataFields>
  <formats count="2">
    <format dxfId="116">
      <pivotArea dataOnly="0" labelOnly="1" outline="0" axis="axisValues" fieldPosition="0"/>
    </format>
    <format dxfId="1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6271E-6046-4CD8-8598-5B0DB3715294}" name="Tabela dinâmica7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G23:G24" firstHeaderRow="1" firstDataRow="1" firstDataCol="0"/>
  <pivotFields count="15">
    <pivotField showAll="0">
      <items count="2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t="default"/>
      </items>
    </pivotField>
    <pivotField showAll="0"/>
    <pivotField showAll="0">
      <items count="5">
        <item x="1"/>
        <item x="2"/>
        <item x="0"/>
        <item h="1"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sd="0" x="1"/>
        <item sd="0"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Items count="1">
    <i/>
  </colItems>
  <dataFields count="1">
    <dataField name="Soma de Total Value" fld="12" baseField="0" baseItem="0" numFmtId="44"/>
  </dataFields>
  <formats count="2">
    <format dxfId="171">
      <pivotArea dataOnly="0" labelOnly="1" outline="0" axis="axisValues" fieldPosition="0"/>
    </format>
    <format dxfId="16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0F281-3348-4014-A89D-F61D2701D5E1}" name="Tabela dinâmica4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G9:H13" firstHeaderRow="1" firstDataRow="1" firstDataCol="1"/>
  <pivotFields count="15">
    <pivotField dataField="1" showAll="0"/>
    <pivotField showAll="0"/>
    <pivotField axis="axisRow" showAll="0" sortType="ascending">
      <items count="5">
        <item x="1"/>
        <item x="2"/>
        <item x="0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showAll="0">
      <items count="4">
        <item sd="0" x="1"/>
        <item sd="0"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ntagem de Subscriber ID" fld="0" subtotal="count" baseField="2" baseItem="0"/>
  </dataFields>
  <chartFormats count="1"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FC737-7473-49D9-B659-40CDE1F51A7E}" name="Tabela dinâmica3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38:D43" firstHeaderRow="1" firstDataRow="1" firstDataCol="1" rowPageCount="1" colPageCount="1"/>
  <pivotFields count="15"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2">
    <format dxfId="173">
      <pivotArea grandRow="1" outline="0" collapsedLevelsAreSubtotals="1" fieldPosition="0"/>
    </format>
    <format dxfId="17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BB0E89-DCBF-45EC-8194-C3FDF91F3303}" name="tbl_eaplay_season_price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C27:D31" firstHeaderRow="1" firstDataRow="1" firstDataCol="1" rowPageCount="1" colPageCount="1"/>
  <pivotFields count="15"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formats count="1">
    <format dxfId="17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03747-110C-45DB-8E96-A66D20076AE2}" name="Tabela dinâmica1" cacheId="4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C9:D12" firstHeaderRow="1" firstDataRow="1" firstDataCol="1"/>
  <pivotFields count="15">
    <pivotField showAll="0"/>
    <pivotField showAll="0"/>
    <pivotField showAll="0"/>
    <pivotField showAll="0">
      <items count="296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>
      <items count="5">
        <item x="1"/>
        <item x="0"/>
        <item x="2"/>
        <item x="3"/>
        <item t="default"/>
      </items>
    </pivotField>
    <pivotField axis="axisRow" showAll="0">
      <items count="4">
        <item sd="0" x="1"/>
        <item sd="0" x="0"/>
        <item h="1" x="2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7"/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6" baseItem="0" numFmtId="16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98E8FD1-F014-499F-973C-73591E52883D}" sourceName="Subscription Type">
  <pivotTables>
    <pivotTable tabId="3" name="Tabela dinâmica1"/>
    <pivotTable tabId="3" name="tbl_eaplay_season_price"/>
    <pivotTable tabId="3" name="Tabela dinâmica3"/>
    <pivotTable tabId="3" name="Tabela dinâmica4"/>
    <pivotTable tabId="3" name="Tabela dinâmica7"/>
    <pivotTable tabId="3" name="Tabela dinâmica8"/>
  </pivotTables>
  <data>
    <tabular pivotCacheId="913519708" showMissing="0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57FBD4D-E9A5-4586-8003-77728600A3A0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90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89"/>
    <tableColumn id="2" xr3:uid="{53DD39D0-2220-4121-9E9D-4EAA7E151C0F}" name="Name" dataDxfId="188"/>
    <tableColumn id="3" xr3:uid="{4F5FF271-4C57-4BE0-8F2C-F82C8551625C}" name="Plan" dataDxfId="187"/>
    <tableColumn id="4" xr3:uid="{8C17EB93-79B9-4E55-B8F7-BEB82F8253E9}" name="Start Date" dataDxfId="186"/>
    <tableColumn id="5" xr3:uid="{48CEDF9B-1689-482A-A828-5CCE7713264A}" name="Auto Renewal" dataDxfId="185"/>
    <tableColumn id="6" xr3:uid="{78B82374-9AA7-4E38-AE4F-78CDE6C83720}" name="Subscription Price" dataDxfId="184" dataCellStyle="Moeda"/>
    <tableColumn id="7" xr3:uid="{F2433F68-AF33-49D0-B1FB-19A396074EDE}" name="Subscription Type" dataDxfId="183"/>
    <tableColumn id="8" xr3:uid="{FD4D9C95-F6E5-4933-9068-A71FF7DF9343}" name="EA Play Season Pass" dataDxfId="182"/>
    <tableColumn id="13" xr3:uid="{978DD0D2-834E-4CE4-A39B-30976086932F}" name="EA Play Season Pass_x000a_Price" dataDxfId="181" dataCellStyle="Moeda"/>
    <tableColumn id="9" xr3:uid="{6E29F111-C395-4580-9DAD-3407D9E8B1A4}" name="Minecraft Season Pass" dataDxfId="180"/>
    <tableColumn id="10" xr3:uid="{EF544EAA-7F25-4FD5-A10E-8E62804DB9E3}" name="Minecraft Season Pass Price" dataDxfId="179" dataCellStyle="Moeda"/>
    <tableColumn id="11" xr3:uid="{7F6EB64A-1F07-4E48-9F0F-AC7D9DCD26F8}" name="Coupon Value" dataDxfId="178" dataCellStyle="Moeda"/>
    <tableColumn id="12" xr3:uid="{2B04ABC8-DE6F-426E-ADC0-D8AFC68CA58E}" name="Total Value" dataDxfId="17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="80" zoomScaleNormal="80" workbookViewId="0">
      <selection activeCell="J13" sqref="J1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80" zoomScaleNormal="80" workbookViewId="0">
      <selection activeCell="M1" sqref="M1:M104857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H43"/>
  <sheetViews>
    <sheetView showGridLines="0" topLeftCell="A19" workbookViewId="0">
      <selection activeCell="H39" sqref="H39"/>
    </sheetView>
  </sheetViews>
  <sheetFormatPr defaultRowHeight="14.4" x14ac:dyDescent="0.3"/>
  <cols>
    <col min="1" max="1" width="2.5546875" customWidth="1"/>
    <col min="2" max="2" width="18.33203125" bestFit="1" customWidth="1"/>
    <col min="3" max="3" width="16.77734375" bestFit="1" customWidth="1"/>
    <col min="4" max="5" width="32.21875" bestFit="1" customWidth="1"/>
    <col min="6" max="6" width="10.5546875" bestFit="1" customWidth="1"/>
    <col min="7" max="7" width="19.21875" bestFit="1" customWidth="1"/>
    <col min="8" max="8" width="21.5546875" bestFit="1" customWidth="1"/>
    <col min="9" max="18" width="18.109375" bestFit="1" customWidth="1"/>
    <col min="19" max="20" width="10" bestFit="1" customWidth="1"/>
    <col min="21" max="78" width="5" bestFit="1" customWidth="1"/>
    <col min="79" max="79" width="6.6640625" bestFit="1" customWidth="1"/>
    <col min="80" max="80" width="10" bestFit="1" customWidth="1"/>
  </cols>
  <sheetData>
    <row r="2" spans="2:8" x14ac:dyDescent="0.3">
      <c r="B2" t="s">
        <v>321</v>
      </c>
      <c r="C2" t="s">
        <v>319</v>
      </c>
    </row>
    <row r="3" spans="2:8" x14ac:dyDescent="0.3">
      <c r="B3" t="s">
        <v>321</v>
      </c>
      <c r="C3" t="s">
        <v>318</v>
      </c>
    </row>
    <row r="7" spans="2:8" x14ac:dyDescent="0.3">
      <c r="G7" t="s">
        <v>321</v>
      </c>
      <c r="H7" t="s">
        <v>320</v>
      </c>
    </row>
    <row r="9" spans="2:8" x14ac:dyDescent="0.3">
      <c r="C9" s="12" t="s">
        <v>314</v>
      </c>
      <c r="D9" t="s">
        <v>317</v>
      </c>
      <c r="G9" s="12" t="s">
        <v>314</v>
      </c>
      <c r="H9" t="s">
        <v>326</v>
      </c>
    </row>
    <row r="10" spans="2:8" x14ac:dyDescent="0.3">
      <c r="C10" s="13" t="s">
        <v>23</v>
      </c>
      <c r="D10" s="15">
        <v>2245</v>
      </c>
      <c r="G10" s="13" t="s">
        <v>26</v>
      </c>
      <c r="H10" s="14">
        <v>96</v>
      </c>
    </row>
    <row r="11" spans="2:8" x14ac:dyDescent="0.3">
      <c r="C11" s="13" t="s">
        <v>19</v>
      </c>
      <c r="D11" s="15">
        <v>5388</v>
      </c>
      <c r="G11" s="13" t="s">
        <v>18</v>
      </c>
      <c r="H11" s="14">
        <v>98</v>
      </c>
    </row>
    <row r="12" spans="2:8" x14ac:dyDescent="0.3">
      <c r="C12" s="13" t="s">
        <v>316</v>
      </c>
      <c r="D12" s="15">
        <v>7633</v>
      </c>
      <c r="G12" s="13" t="s">
        <v>22</v>
      </c>
      <c r="H12" s="14">
        <v>101</v>
      </c>
    </row>
    <row r="13" spans="2:8" x14ac:dyDescent="0.3">
      <c r="G13" s="13" t="s">
        <v>316</v>
      </c>
      <c r="H13" s="14">
        <v>295</v>
      </c>
    </row>
    <row r="21" spans="3:8" x14ac:dyDescent="0.3">
      <c r="G21" t="s">
        <v>327</v>
      </c>
    </row>
    <row r="23" spans="3:8" x14ac:dyDescent="0.3">
      <c r="G23" s="21" t="s">
        <v>317</v>
      </c>
    </row>
    <row r="24" spans="3:8" x14ac:dyDescent="0.3">
      <c r="C24" t="s">
        <v>322</v>
      </c>
      <c r="G24" s="21">
        <v>7633</v>
      </c>
    </row>
    <row r="25" spans="3:8" x14ac:dyDescent="0.3">
      <c r="C25" s="12" t="s">
        <v>16</v>
      </c>
      <c r="D25" t="s">
        <v>313</v>
      </c>
    </row>
    <row r="26" spans="3:8" x14ac:dyDescent="0.3">
      <c r="H26" s="22">
        <f>GETPIVOTDATA("Total Value",$G$23)</f>
        <v>7633</v>
      </c>
    </row>
    <row r="27" spans="3:8" x14ac:dyDescent="0.3">
      <c r="C27" s="12" t="s">
        <v>314</v>
      </c>
      <c r="D27" t="s">
        <v>323</v>
      </c>
    </row>
    <row r="28" spans="3:8" x14ac:dyDescent="0.3">
      <c r="C28" s="13" t="s">
        <v>22</v>
      </c>
      <c r="D28" s="14">
        <v>0</v>
      </c>
    </row>
    <row r="29" spans="3:8" x14ac:dyDescent="0.3">
      <c r="C29" s="13" t="s">
        <v>26</v>
      </c>
      <c r="D29" s="14">
        <v>0</v>
      </c>
    </row>
    <row r="30" spans="3:8" x14ac:dyDescent="0.3">
      <c r="C30" s="13" t="s">
        <v>18</v>
      </c>
      <c r="D30" s="14">
        <v>2940</v>
      </c>
    </row>
    <row r="31" spans="3:8" x14ac:dyDescent="0.3">
      <c r="C31" s="13" t="s">
        <v>316</v>
      </c>
      <c r="D31" s="15">
        <v>2940</v>
      </c>
      <c r="F31" s="16">
        <f>GETPIVOTDATA("EA Play Season Pass
Price",$C$27)</f>
        <v>2940</v>
      </c>
    </row>
    <row r="34" spans="3:8" x14ac:dyDescent="0.3">
      <c r="H34" t="s">
        <v>328</v>
      </c>
    </row>
    <row r="35" spans="3:8" x14ac:dyDescent="0.3">
      <c r="C35" t="s">
        <v>322</v>
      </c>
      <c r="H35" s="21" t="s">
        <v>329</v>
      </c>
    </row>
    <row r="36" spans="3:8" x14ac:dyDescent="0.3">
      <c r="C36" s="12" t="s">
        <v>16</v>
      </c>
      <c r="D36" t="s">
        <v>313</v>
      </c>
      <c r="H36" s="21">
        <v>2122</v>
      </c>
    </row>
    <row r="38" spans="3:8" x14ac:dyDescent="0.3">
      <c r="C38" s="12" t="s">
        <v>314</v>
      </c>
      <c r="D38" t="s">
        <v>324</v>
      </c>
    </row>
    <row r="39" spans="3:8" x14ac:dyDescent="0.3">
      <c r="C39" s="13" t="s">
        <v>22</v>
      </c>
      <c r="D39" s="15">
        <v>0</v>
      </c>
      <c r="H39" s="22">
        <f>GETPIVOTDATA("Coupon Value",$H$35)</f>
        <v>2122</v>
      </c>
    </row>
    <row r="40" spans="3:8" x14ac:dyDescent="0.3">
      <c r="C40" s="13" t="s">
        <v>26</v>
      </c>
      <c r="D40" s="15">
        <v>1920</v>
      </c>
    </row>
    <row r="41" spans="3:8" x14ac:dyDescent="0.3">
      <c r="C41" s="13" t="s">
        <v>18</v>
      </c>
      <c r="D41" s="15">
        <v>1960</v>
      </c>
    </row>
    <row r="42" spans="3:8" x14ac:dyDescent="0.3">
      <c r="C42" s="13" t="s">
        <v>315</v>
      </c>
      <c r="D42" s="15"/>
      <c r="F42" s="15">
        <f>GETPIVOTDATA("Minecraft Season Pass Price",$C$38)</f>
        <v>3880</v>
      </c>
    </row>
    <row r="43" spans="3:8" x14ac:dyDescent="0.3">
      <c r="C43" s="13" t="s">
        <v>316</v>
      </c>
      <c r="D43" s="15">
        <v>3880</v>
      </c>
    </row>
  </sheetData>
  <pageMargins left="0.511811024" right="0.511811024" top="0.78740157499999996" bottom="0.78740157499999996" header="0.31496062000000002" footer="0.31496062000000002"/>
  <pageSetup paperSize="9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BG283"/>
  <sheetViews>
    <sheetView showGridLines="0" showRowColHeaders="0" tabSelected="1" zoomScale="80" zoomScaleNormal="80" workbookViewId="0">
      <selection activeCell="Z11" sqref="Z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1.6640625" style="4" customWidth="1"/>
    <col min="2" max="2" width="3.5546875" customWidth="1"/>
    <col min="12" max="12" width="6.5546875" customWidth="1"/>
  </cols>
  <sheetData>
    <row r="2" spans="1:59" ht="39" customHeight="1" thickBot="1" x14ac:dyDescent="0.45">
      <c r="C2" s="19" t="s">
        <v>325</v>
      </c>
      <c r="D2" s="19"/>
      <c r="E2" s="19"/>
      <c r="F2" s="19"/>
      <c r="G2" s="19"/>
      <c r="H2" s="19"/>
      <c r="I2" s="17"/>
      <c r="J2" s="17"/>
      <c r="K2" s="17"/>
      <c r="L2" s="17"/>
      <c r="M2" s="17"/>
      <c r="N2" s="17"/>
      <c r="O2" s="17"/>
      <c r="P2" s="18"/>
      <c r="Q2" s="18"/>
      <c r="R2" s="18"/>
      <c r="S2" s="18"/>
    </row>
    <row r="3" spans="1:59" ht="10.8" customHeight="1" thickTop="1" x14ac:dyDescent="0.3"/>
    <row r="4" spans="1:59" ht="16.2" customHeight="1" x14ac:dyDescent="0.3">
      <c r="A4" s="20" t="s">
        <v>330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</row>
    <row r="5" spans="1:59" ht="10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</row>
    <row r="6" spans="1:59" ht="9.7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</row>
    <row r="7" spans="1:59" ht="33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</row>
    <row r="8" spans="1:59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</row>
    <row r="9" spans="1:59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</row>
    <row r="10" spans="1:59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</row>
    <row r="11" spans="1:59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</row>
    <row r="12" spans="1:59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</row>
    <row r="13" spans="1:59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</row>
    <row r="14" spans="1:59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</row>
    <row r="15" spans="1:59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</row>
    <row r="16" spans="1:59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</row>
    <row r="17" spans="2:59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</row>
    <row r="18" spans="2:59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</row>
    <row r="19" spans="2:59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</row>
    <row r="20" spans="2:59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</row>
    <row r="21" spans="2:59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</row>
    <row r="22" spans="2:59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</row>
    <row r="23" spans="2:59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</row>
    <row r="24" spans="2:59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</row>
    <row r="25" spans="2:59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</row>
    <row r="26" spans="2:59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</row>
    <row r="27" spans="2:59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</row>
    <row r="28" spans="2:59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</row>
    <row r="29" spans="2:59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</row>
    <row r="30" spans="2:59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</row>
    <row r="31" spans="2:59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</row>
    <row r="32" spans="2:59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</row>
    <row r="33" spans="2:59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</row>
    <row r="34" spans="2:59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</row>
    <row r="35" spans="2:59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</row>
    <row r="36" spans="2:59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</row>
    <row r="37" spans="2:59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</row>
    <row r="38" spans="2:59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</row>
    <row r="39" spans="2:59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</row>
    <row r="40" spans="2:59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</row>
    <row r="41" spans="2:59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</row>
    <row r="42" spans="2:59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</row>
    <row r="43" spans="2:59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</row>
    <row r="44" spans="2:59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</row>
    <row r="45" spans="2:59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</row>
    <row r="46" spans="2:59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</row>
    <row r="47" spans="2:59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</row>
    <row r="48" spans="2:59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</row>
    <row r="49" spans="2:59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</row>
    <row r="50" spans="2:59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</row>
    <row r="51" spans="2:59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</row>
    <row r="52" spans="2:59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</row>
    <row r="53" spans="2:59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</row>
    <row r="54" spans="2:59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</row>
    <row r="55" spans="2:59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</row>
    <row r="56" spans="2:59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</row>
    <row r="57" spans="2:59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</row>
    <row r="58" spans="2:59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</row>
    <row r="59" spans="2:59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</row>
    <row r="60" spans="2:59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</row>
    <row r="61" spans="2:59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</row>
    <row r="62" spans="2:59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</row>
    <row r="63" spans="2:59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</row>
    <row r="64" spans="2:59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</row>
    <row r="65" spans="2:59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</row>
    <row r="66" spans="2:59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</row>
    <row r="67" spans="2:59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</row>
    <row r="68" spans="2:59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</row>
    <row r="69" spans="2:59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</row>
    <row r="70" spans="2:59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</row>
    <row r="71" spans="2:59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</row>
    <row r="72" spans="2:59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</row>
    <row r="73" spans="2:59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</row>
    <row r="74" spans="2:59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</row>
    <row r="75" spans="2:59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</row>
    <row r="76" spans="2:59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</row>
    <row r="77" spans="2:59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</row>
    <row r="78" spans="2:59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</row>
    <row r="79" spans="2:59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</row>
    <row r="80" spans="2:59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</row>
    <row r="81" spans="2:59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</row>
    <row r="82" spans="2:59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</row>
    <row r="83" spans="2:59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</row>
    <row r="84" spans="2:59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</row>
    <row r="85" spans="2:59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</row>
    <row r="86" spans="2:59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</row>
    <row r="87" spans="2:59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</row>
    <row r="88" spans="2:59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</row>
    <row r="89" spans="2:59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</row>
    <row r="90" spans="2:59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</row>
    <row r="91" spans="2:59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</row>
    <row r="92" spans="2:59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</row>
    <row r="93" spans="2:59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</row>
    <row r="94" spans="2:59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</row>
    <row r="95" spans="2:59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</row>
    <row r="96" spans="2:59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</row>
    <row r="97" spans="2:59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</row>
    <row r="98" spans="2:59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</row>
    <row r="99" spans="2:59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</row>
    <row r="100" spans="2:59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</row>
    <row r="101" spans="2:59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</row>
    <row r="102" spans="2:59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</row>
    <row r="103" spans="2:59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</row>
    <row r="104" spans="2:59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</row>
    <row r="105" spans="2:59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</row>
    <row r="106" spans="2:59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</row>
    <row r="107" spans="2:59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</row>
    <row r="108" spans="2:59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</row>
    <row r="109" spans="2:59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</row>
    <row r="110" spans="2:59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</row>
    <row r="111" spans="2:59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</row>
    <row r="112" spans="2:59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</row>
    <row r="113" spans="2:59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</row>
    <row r="114" spans="2:59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</row>
    <row r="115" spans="2:59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</row>
    <row r="116" spans="2:59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</row>
    <row r="117" spans="2:59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</row>
    <row r="118" spans="2:59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</row>
    <row r="119" spans="2:59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</row>
    <row r="120" spans="2:59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</row>
    <row r="121" spans="2:59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</row>
    <row r="122" spans="2:59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</row>
    <row r="123" spans="2:59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</row>
    <row r="124" spans="2:59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</row>
    <row r="125" spans="2:59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</row>
    <row r="126" spans="2:59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</row>
    <row r="127" spans="2:59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</row>
    <row r="128" spans="2:59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</row>
    <row r="129" spans="2:59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</row>
    <row r="130" spans="2:59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</row>
    <row r="131" spans="2:59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</row>
    <row r="132" spans="2:59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</row>
    <row r="133" spans="2:59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</row>
    <row r="134" spans="2:59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</row>
    <row r="135" spans="2:59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</row>
    <row r="136" spans="2:59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</row>
    <row r="137" spans="2:59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</row>
    <row r="138" spans="2:59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</row>
    <row r="139" spans="2:59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</row>
    <row r="140" spans="2:59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</row>
    <row r="141" spans="2:59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</row>
    <row r="142" spans="2:59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</row>
    <row r="143" spans="2:59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</row>
    <row r="144" spans="2:59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</row>
    <row r="145" spans="2:59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</row>
    <row r="146" spans="2:59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</row>
    <row r="147" spans="2:59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</row>
    <row r="148" spans="2:59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</row>
    <row r="149" spans="2:59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</row>
    <row r="150" spans="2:59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</row>
    <row r="151" spans="2:59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</row>
    <row r="152" spans="2:59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</row>
    <row r="153" spans="2:59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</row>
    <row r="154" spans="2:59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</row>
    <row r="155" spans="2:59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</row>
    <row r="156" spans="2:59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</row>
    <row r="157" spans="2:59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</row>
    <row r="158" spans="2:59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</row>
    <row r="159" spans="2:59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</row>
    <row r="160" spans="2:59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</row>
    <row r="161" spans="2:59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</row>
    <row r="162" spans="2:59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</row>
    <row r="163" spans="2:59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</row>
    <row r="164" spans="2:59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</row>
    <row r="165" spans="2:59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</row>
    <row r="166" spans="2:59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</row>
    <row r="167" spans="2:59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</row>
    <row r="168" spans="2:59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</row>
    <row r="169" spans="2:59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</row>
    <row r="170" spans="2:59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</row>
    <row r="171" spans="2:59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</row>
    <row r="172" spans="2:59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</row>
    <row r="173" spans="2:59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</row>
    <row r="174" spans="2:59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</row>
    <row r="175" spans="2:59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</row>
    <row r="176" spans="2:59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</row>
    <row r="177" spans="2:59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</row>
    <row r="178" spans="2:59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</row>
    <row r="179" spans="2:59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</row>
    <row r="180" spans="2:59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</row>
    <row r="181" spans="2:59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</row>
    <row r="182" spans="2:59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</row>
    <row r="183" spans="2:59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</row>
    <row r="184" spans="2:59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</row>
    <row r="185" spans="2:59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</row>
    <row r="186" spans="2:59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</row>
    <row r="187" spans="2:59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</row>
    <row r="188" spans="2:59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</row>
    <row r="189" spans="2:59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</row>
    <row r="190" spans="2:59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</row>
    <row r="191" spans="2:59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</row>
    <row r="192" spans="2:59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</row>
    <row r="193" spans="2:59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</row>
    <row r="194" spans="2:59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</row>
    <row r="195" spans="2:59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</row>
    <row r="196" spans="2:59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</row>
    <row r="197" spans="2:59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</row>
    <row r="198" spans="2:59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</row>
    <row r="199" spans="2:59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</row>
    <row r="200" spans="2:59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</row>
    <row r="201" spans="2:59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</row>
    <row r="202" spans="2:59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</row>
    <row r="203" spans="2:59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</row>
    <row r="204" spans="2:59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</row>
    <row r="205" spans="2:59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</row>
    <row r="206" spans="2:59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</row>
    <row r="207" spans="2:59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</row>
    <row r="208" spans="2:59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</row>
    <row r="209" spans="2:59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</row>
    <row r="210" spans="2:59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</row>
    <row r="211" spans="2:59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</row>
    <row r="212" spans="2:59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</row>
    <row r="213" spans="2:59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</row>
    <row r="214" spans="2:59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</row>
    <row r="215" spans="2:59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</row>
    <row r="216" spans="2:59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</row>
    <row r="217" spans="2:59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</row>
    <row r="218" spans="2:59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</row>
    <row r="219" spans="2:59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</row>
    <row r="220" spans="2:59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</row>
    <row r="221" spans="2:59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</row>
    <row r="222" spans="2:59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</row>
    <row r="223" spans="2:59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</row>
    <row r="224" spans="2:59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</row>
    <row r="225" spans="2:59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</row>
    <row r="226" spans="2:59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</row>
    <row r="227" spans="2:59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</row>
    <row r="228" spans="2:59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</row>
    <row r="229" spans="2:59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</row>
    <row r="230" spans="2:59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</row>
    <row r="231" spans="2:59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</row>
    <row r="232" spans="2:59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</row>
    <row r="233" spans="2:59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</row>
    <row r="234" spans="2:59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</row>
    <row r="235" spans="2:59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</row>
    <row r="236" spans="2:59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</row>
    <row r="237" spans="2:59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</row>
    <row r="238" spans="2:59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</row>
    <row r="239" spans="2:59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</row>
    <row r="240" spans="2:59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</row>
    <row r="241" spans="2:59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</row>
    <row r="242" spans="2:59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</row>
    <row r="243" spans="2:59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</row>
    <row r="244" spans="2:59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</row>
    <row r="245" spans="2:59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</row>
    <row r="246" spans="2:59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</row>
    <row r="247" spans="2:59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</row>
    <row r="248" spans="2:59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</row>
    <row r="249" spans="2:59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</row>
    <row r="250" spans="2:59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</row>
    <row r="251" spans="2:59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</row>
    <row r="252" spans="2:59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</row>
    <row r="253" spans="2:59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</row>
    <row r="254" spans="2:59" x14ac:dyDescent="0.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</row>
    <row r="255" spans="2:59" x14ac:dyDescent="0.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</row>
    <row r="256" spans="2:59" x14ac:dyDescent="0.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</row>
    <row r="257" spans="2:59" x14ac:dyDescent="0.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</row>
    <row r="258" spans="2:59" x14ac:dyDescent="0.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</row>
    <row r="259" spans="2:59" x14ac:dyDescent="0.3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</row>
    <row r="260" spans="2:59" x14ac:dyDescent="0.3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</row>
    <row r="261" spans="2:59" x14ac:dyDescent="0.3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</row>
    <row r="262" spans="2:59" x14ac:dyDescent="0.3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</row>
    <row r="263" spans="2:59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</row>
    <row r="264" spans="2:59" x14ac:dyDescent="0.3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</row>
    <row r="265" spans="2:59" x14ac:dyDescent="0.3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</row>
    <row r="266" spans="2:59" x14ac:dyDescent="0.3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</row>
    <row r="267" spans="2:59" x14ac:dyDescent="0.3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</row>
    <row r="268" spans="2:59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</row>
    <row r="269" spans="2:59" x14ac:dyDescent="0.3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</row>
    <row r="270" spans="2:59" x14ac:dyDescent="0.3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</row>
    <row r="271" spans="2:59" x14ac:dyDescent="0.3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</row>
    <row r="272" spans="2:59" x14ac:dyDescent="0.3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</row>
    <row r="273" spans="2:59" x14ac:dyDescent="0.3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</row>
    <row r="274" spans="2:59" x14ac:dyDescent="0.3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</row>
    <row r="275" spans="2:59" x14ac:dyDescent="0.3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</row>
    <row r="276" spans="2:59" x14ac:dyDescent="0.3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</row>
    <row r="277" spans="2:59" x14ac:dyDescent="0.3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</row>
    <row r="278" spans="2:59" x14ac:dyDescent="0.3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</row>
    <row r="279" spans="2:59" x14ac:dyDescent="0.3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</row>
    <row r="280" spans="2:59" x14ac:dyDescent="0.3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</row>
    <row r="281" spans="2:59" x14ac:dyDescent="0.3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</row>
    <row r="282" spans="2:59" x14ac:dyDescent="0.3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</row>
    <row r="283" spans="2:59" x14ac:dyDescent="0.3">
      <c r="S28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A̳ssets</vt:lpstr>
      <vt:lpstr>B̳ases</vt:lpstr>
      <vt:lpstr>C̳álculos</vt:lpstr>
      <vt:lpstr>D̳ashboard</vt:lpstr>
      <vt:lpstr>tbl_eaplay_season_price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tharcilam21@gmail.com</cp:lastModifiedBy>
  <dcterms:created xsi:type="dcterms:W3CDTF">2024-12-19T13:13:10Z</dcterms:created>
  <dcterms:modified xsi:type="dcterms:W3CDTF">2025-12-10T16:14:14Z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